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binaananyan/Desktop/UCSD MQF/MQF Winter 2026/MGTF417 - Professional Communications/"/>
    </mc:Choice>
  </mc:AlternateContent>
  <xr:revisionPtr revIDLastSave="0" documentId="13_ncr:1_{CF25A9DC-13FB-294B-ADD7-39F33B1E4E6F}" xr6:coauthVersionLast="47" xr6:coauthVersionMax="47" xr10:uidLastSave="{00000000-0000-0000-0000-000000000000}"/>
  <bookViews>
    <workbookView xWindow="0" yWindow="500" windowWidth="28800" windowHeight="16080" activeTab="6" xr2:uid="{00000000-000D-0000-FFFF-FFFF00000000}"/>
  </bookViews>
  <sheets>
    <sheet name="Income Statement" sheetId="1" r:id="rId1"/>
    <sheet name="Comprehensive Income" sheetId="2" r:id="rId2"/>
    <sheet name="Balance Sheet" sheetId="3" r:id="rId3"/>
    <sheet name="Cash Flow Statement" sheetId="4" r:id="rId4"/>
    <sheet name="Changes in Equity" sheetId="5" r:id="rId5"/>
    <sheet name="DCF (Structural Stability)" sheetId="7" r:id="rId6"/>
    <sheet name="DCF (EV) NEW" sheetId="12" r:id="rId7"/>
  </sheets>
  <definedNames>
    <definedName name="_xlchart.v1.3" hidden="1">'DCF (EV) NEW'!$N$3:$W$3</definedName>
    <definedName name="_xlchart.v1.4" hidden="1">'DCF (EV) NEW'!$N$4:$W$4</definedName>
    <definedName name="_xlchart.v1.5" hidden="1">'DCF (EV) NEW'!$N$5:$W$5</definedName>
    <definedName name="_xlchart.v2.0" hidden="1">'DCF (EV) NEW'!$N$3:$W$3</definedName>
    <definedName name="_xlchart.v2.1" hidden="1">'DCF (EV) NEW'!$N$4:$W$4</definedName>
    <definedName name="_xlchart.v2.2" hidden="1">'DCF (EV) NEW'!$N$5:$W$5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2" l="1"/>
  <c r="N26" i="12"/>
  <c r="N33" i="12"/>
  <c r="W33" i="12"/>
  <c r="N19" i="12"/>
  <c r="W16" i="12"/>
  <c r="N16" i="12"/>
  <c r="N29" i="12"/>
  <c r="L13" i="12"/>
  <c r="Z12" i="12"/>
  <c r="B36" i="12"/>
  <c r="N6" i="12"/>
  <c r="C32" i="12"/>
  <c r="D32" i="12"/>
  <c r="D34" i="12" s="1"/>
  <c r="E32" i="12"/>
  <c r="F32" i="12"/>
  <c r="G32" i="12"/>
  <c r="H32" i="12"/>
  <c r="I32" i="12"/>
  <c r="J32" i="12"/>
  <c r="K32" i="12"/>
  <c r="L32" i="12"/>
  <c r="B17" i="3"/>
  <c r="D17" i="3"/>
  <c r="C17" i="3"/>
  <c r="E17" i="3"/>
  <c r="F17" i="3"/>
  <c r="G17" i="3"/>
  <c r="H17" i="3"/>
  <c r="I17" i="3"/>
  <c r="J17" i="3"/>
  <c r="K17" i="3"/>
  <c r="G32" i="3"/>
  <c r="G23" i="12" s="1"/>
  <c r="H32" i="3"/>
  <c r="F23" i="12" s="1"/>
  <c r="I32" i="3"/>
  <c r="E23" i="12" s="1"/>
  <c r="J32" i="3"/>
  <c r="D23" i="12" s="1"/>
  <c r="C30" i="3"/>
  <c r="D30" i="3"/>
  <c r="E30" i="3"/>
  <c r="F30" i="3"/>
  <c r="G30" i="3"/>
  <c r="H30" i="3"/>
  <c r="I30" i="3"/>
  <c r="J30" i="3"/>
  <c r="K30" i="3"/>
  <c r="C15" i="3"/>
  <c r="C32" i="3" s="1"/>
  <c r="K23" i="12" s="1"/>
  <c r="D15" i="3"/>
  <c r="D32" i="3" s="1"/>
  <c r="J23" i="12" s="1"/>
  <c r="E15" i="3"/>
  <c r="F15" i="3"/>
  <c r="G15" i="3"/>
  <c r="H15" i="3"/>
  <c r="I15" i="3"/>
  <c r="J15" i="3"/>
  <c r="K15" i="3"/>
  <c r="B15" i="3"/>
  <c r="B32" i="3" s="1"/>
  <c r="L23" i="12" s="1"/>
  <c r="L30" i="12"/>
  <c r="K30" i="12"/>
  <c r="L28" i="12"/>
  <c r="K28" i="12"/>
  <c r="J28" i="12"/>
  <c r="I21" i="12"/>
  <c r="I22" i="12" s="1"/>
  <c r="H21" i="12"/>
  <c r="G21" i="12"/>
  <c r="G22" i="12" s="1"/>
  <c r="F21" i="12"/>
  <c r="F22" i="12" s="1"/>
  <c r="E21" i="12"/>
  <c r="E22" i="12" s="1"/>
  <c r="E25" i="12" s="1"/>
  <c r="D21" i="12"/>
  <c r="D22" i="12" s="1"/>
  <c r="C21" i="12"/>
  <c r="C22" i="12" s="1"/>
  <c r="C36" i="12" s="1"/>
  <c r="B21" i="12"/>
  <c r="B22" i="12" s="1"/>
  <c r="L20" i="12"/>
  <c r="K20" i="12"/>
  <c r="J20" i="12"/>
  <c r="L18" i="12"/>
  <c r="K18" i="12"/>
  <c r="J18" i="12"/>
  <c r="L17" i="12"/>
  <c r="K17" i="12"/>
  <c r="J17" i="12"/>
  <c r="K13" i="12"/>
  <c r="J13" i="12"/>
  <c r="I13" i="12"/>
  <c r="H13" i="12"/>
  <c r="G13" i="12"/>
  <c r="F13" i="12"/>
  <c r="E13" i="12"/>
  <c r="D13" i="12"/>
  <c r="C13" i="12"/>
  <c r="B13" i="12"/>
  <c r="Z11" i="12"/>
  <c r="Z10" i="12"/>
  <c r="L10" i="12"/>
  <c r="L4" i="12" s="1"/>
  <c r="K10" i="12"/>
  <c r="J10" i="12"/>
  <c r="I10" i="12"/>
  <c r="H10" i="12"/>
  <c r="G10" i="12"/>
  <c r="G4" i="12" s="1"/>
  <c r="F10" i="12"/>
  <c r="F4" i="12" s="1"/>
  <c r="F29" i="12" s="1"/>
  <c r="E10" i="12"/>
  <c r="E4" i="12" s="1"/>
  <c r="D10" i="12"/>
  <c r="D4" i="12" s="1"/>
  <c r="C10" i="12"/>
  <c r="B10" i="12"/>
  <c r="B4" i="12" s="1"/>
  <c r="L8" i="12"/>
  <c r="K8" i="12"/>
  <c r="J8" i="12"/>
  <c r="I8" i="12"/>
  <c r="H8" i="12"/>
  <c r="L7" i="12"/>
  <c r="K7" i="12"/>
  <c r="J7" i="12"/>
  <c r="I7" i="12"/>
  <c r="H7" i="12"/>
  <c r="G7" i="12"/>
  <c r="F7" i="12"/>
  <c r="E7" i="12"/>
  <c r="D7" i="12"/>
  <c r="C7" i="12"/>
  <c r="B7" i="12"/>
  <c r="Z4" i="12"/>
  <c r="B30" i="3"/>
  <c r="B35" i="3"/>
  <c r="B36" i="3" s="1"/>
  <c r="R10" i="7"/>
  <c r="R9" i="7"/>
  <c r="R3" i="7"/>
  <c r="D24" i="7"/>
  <c r="C24" i="7"/>
  <c r="B24" i="7"/>
  <c r="C14" i="7"/>
  <c r="D14" i="7"/>
  <c r="D21" i="7"/>
  <c r="C21" i="7"/>
  <c r="B21" i="7"/>
  <c r="D18" i="7"/>
  <c r="C18" i="7"/>
  <c r="B18" i="7"/>
  <c r="D10" i="7"/>
  <c r="C10" i="7"/>
  <c r="B10" i="7"/>
  <c r="D7" i="7"/>
  <c r="C7" i="7"/>
  <c r="B7" i="7"/>
  <c r="D5" i="7"/>
  <c r="C5" i="7"/>
  <c r="B5" i="7"/>
  <c r="D3" i="7"/>
  <c r="C3" i="7"/>
  <c r="B3" i="7"/>
  <c r="G24" i="12" l="1"/>
  <c r="G25" i="12"/>
  <c r="E24" i="12"/>
  <c r="F25" i="12"/>
  <c r="F24" i="12"/>
  <c r="L24" i="12"/>
  <c r="D24" i="12"/>
  <c r="I11" i="12"/>
  <c r="J21" i="12"/>
  <c r="O6" i="12"/>
  <c r="H14" i="12"/>
  <c r="I14" i="12"/>
  <c r="N8" i="12"/>
  <c r="H11" i="12"/>
  <c r="C14" i="12"/>
  <c r="K14" i="12"/>
  <c r="F14" i="12"/>
  <c r="L21" i="12"/>
  <c r="L22" i="12" s="1"/>
  <c r="G11" i="12"/>
  <c r="K26" i="12"/>
  <c r="L26" i="12"/>
  <c r="E26" i="12"/>
  <c r="E27" i="12" s="1"/>
  <c r="R2" i="7"/>
  <c r="R5" i="7" s="1"/>
  <c r="Z3" i="12"/>
  <c r="Z5" i="12" s="1"/>
  <c r="F26" i="12"/>
  <c r="F27" i="12" s="1"/>
  <c r="G26" i="12"/>
  <c r="G27" i="12" s="1"/>
  <c r="J34" i="12"/>
  <c r="H34" i="12"/>
  <c r="F32" i="3"/>
  <c r="H23" i="12" s="1"/>
  <c r="E32" i="3"/>
  <c r="I23" i="12" s="1"/>
  <c r="K32" i="3"/>
  <c r="C23" i="12" s="1"/>
  <c r="I34" i="12"/>
  <c r="I36" i="12" s="1"/>
  <c r="D35" i="12"/>
  <c r="G34" i="12"/>
  <c r="L34" i="12"/>
  <c r="L35" i="12" s="1"/>
  <c r="E34" i="12"/>
  <c r="E36" i="12" s="1"/>
  <c r="H4" i="12"/>
  <c r="H19" i="12" s="1"/>
  <c r="E11" i="12"/>
  <c r="D14" i="12"/>
  <c r="L14" i="12"/>
  <c r="K21" i="12"/>
  <c r="K22" i="12" s="1"/>
  <c r="K25" i="12" s="1"/>
  <c r="F11" i="12"/>
  <c r="L11" i="12"/>
  <c r="L29" i="12"/>
  <c r="G14" i="12"/>
  <c r="J14" i="12"/>
  <c r="D11" i="12"/>
  <c r="L31" i="12"/>
  <c r="G16" i="12"/>
  <c r="G5" i="12"/>
  <c r="G19" i="12"/>
  <c r="G33" i="12"/>
  <c r="G31" i="12"/>
  <c r="J4" i="12"/>
  <c r="J24" i="12" s="1"/>
  <c r="J11" i="12"/>
  <c r="D31" i="12"/>
  <c r="D29" i="12"/>
  <c r="D16" i="12"/>
  <c r="D19" i="12"/>
  <c r="E29" i="12"/>
  <c r="E16" i="12"/>
  <c r="E5" i="12"/>
  <c r="E19" i="12"/>
  <c r="D33" i="12"/>
  <c r="F5" i="12"/>
  <c r="F16" i="12"/>
  <c r="F19" i="12"/>
  <c r="G29" i="12"/>
  <c r="E31" i="12"/>
  <c r="B31" i="12"/>
  <c r="B29" i="12"/>
  <c r="B16" i="12"/>
  <c r="B19" i="12"/>
  <c r="C11" i="12"/>
  <c r="L19" i="12"/>
  <c r="L16" i="12"/>
  <c r="I4" i="12"/>
  <c r="H22" i="12"/>
  <c r="L33" i="12"/>
  <c r="E14" i="12"/>
  <c r="F31" i="12"/>
  <c r="K11" i="12"/>
  <c r="C4" i="12"/>
  <c r="C33" i="12" s="1"/>
  <c r="K4" i="12"/>
  <c r="K33" i="12" s="1"/>
  <c r="C25" i="7"/>
  <c r="B25" i="7"/>
  <c r="B17" i="7"/>
  <c r="C17" i="7"/>
  <c r="D17" i="7"/>
  <c r="R11" i="7"/>
  <c r="D25" i="7"/>
  <c r="D26" i="7" s="1"/>
  <c r="C4" i="7"/>
  <c r="D4" i="7"/>
  <c r="B8" i="7"/>
  <c r="C8" i="7"/>
  <c r="D8" i="7"/>
  <c r="B11" i="7"/>
  <c r="C11" i="7"/>
  <c r="C13" i="7" s="1"/>
  <c r="C27" i="7" s="1"/>
  <c r="D11" i="7"/>
  <c r="D13" i="7" s="1"/>
  <c r="B19" i="7"/>
  <c r="C19" i="7"/>
  <c r="D19" i="7"/>
  <c r="B22" i="7"/>
  <c r="C22" i="7"/>
  <c r="D22" i="7"/>
  <c r="V21" i="12" l="1"/>
  <c r="W21" i="12"/>
  <c r="Z13" i="12" s="1"/>
  <c r="Z14" i="12" s="1"/>
  <c r="H24" i="12"/>
  <c r="L27" i="12"/>
  <c r="K27" i="12"/>
  <c r="J26" i="12"/>
  <c r="J27" i="12" s="1"/>
  <c r="I24" i="12"/>
  <c r="H35" i="12"/>
  <c r="O11" i="12"/>
  <c r="P11" i="12"/>
  <c r="Q11" i="12"/>
  <c r="N11" i="12"/>
  <c r="N10" i="12" s="1"/>
  <c r="R11" i="12"/>
  <c r="S11" i="12"/>
  <c r="T11" i="12" s="1"/>
  <c r="U11" i="12" s="1"/>
  <c r="V11" i="12" s="1"/>
  <c r="S21" i="12"/>
  <c r="J22" i="12"/>
  <c r="J25" i="12" s="1"/>
  <c r="H33" i="12"/>
  <c r="P21" i="12"/>
  <c r="H25" i="12"/>
  <c r="H31" i="12"/>
  <c r="Q21" i="12"/>
  <c r="N21" i="12"/>
  <c r="L25" i="12"/>
  <c r="L36" i="12"/>
  <c r="O14" i="12"/>
  <c r="R14" i="12"/>
  <c r="S14" i="12" s="1"/>
  <c r="T14" i="12" s="1"/>
  <c r="U14" i="12" s="1"/>
  <c r="V14" i="12" s="1"/>
  <c r="Q14" i="12"/>
  <c r="P14" i="12"/>
  <c r="C26" i="12"/>
  <c r="C27" i="12" s="1"/>
  <c r="C24" i="12"/>
  <c r="K24" i="12"/>
  <c r="N14" i="12"/>
  <c r="N13" i="12" s="1"/>
  <c r="J35" i="12"/>
  <c r="H29" i="12"/>
  <c r="T21" i="12"/>
  <c r="I25" i="12"/>
  <c r="O8" i="12"/>
  <c r="P6" i="12"/>
  <c r="D25" i="12"/>
  <c r="R21" i="12"/>
  <c r="H16" i="12"/>
  <c r="H5" i="12"/>
  <c r="U21" i="12"/>
  <c r="O21" i="12"/>
  <c r="D36" i="12"/>
  <c r="G35" i="12"/>
  <c r="G36" i="12"/>
  <c r="H26" i="12"/>
  <c r="H27" i="12" s="1"/>
  <c r="D26" i="12"/>
  <c r="D27" i="12" s="1"/>
  <c r="K34" i="12"/>
  <c r="K36" i="12" s="1"/>
  <c r="J33" i="12"/>
  <c r="R4" i="7"/>
  <c r="I26" i="12"/>
  <c r="I27" i="12" s="1"/>
  <c r="Z6" i="12"/>
  <c r="E33" i="12"/>
  <c r="E35" i="12"/>
  <c r="F34" i="12"/>
  <c r="F33" i="12"/>
  <c r="D5" i="12"/>
  <c r="K16" i="12"/>
  <c r="K19" i="12"/>
  <c r="K5" i="12"/>
  <c r="H36" i="12"/>
  <c r="J36" i="12"/>
  <c r="K31" i="12"/>
  <c r="I19" i="12"/>
  <c r="O19" i="12" s="1"/>
  <c r="I5" i="12"/>
  <c r="I31" i="12"/>
  <c r="I29" i="12"/>
  <c r="I16" i="12"/>
  <c r="C16" i="12"/>
  <c r="C31" i="12"/>
  <c r="C29" i="12"/>
  <c r="C5" i="12"/>
  <c r="C19" i="12"/>
  <c r="L5" i="12"/>
  <c r="I33" i="12"/>
  <c r="K29" i="12"/>
  <c r="J16" i="12"/>
  <c r="J31" i="12"/>
  <c r="J29" i="12"/>
  <c r="J19" i="12"/>
  <c r="J5" i="12"/>
  <c r="I35" i="12"/>
  <c r="D27" i="7"/>
  <c r="D15" i="7"/>
  <c r="G25" i="7"/>
  <c r="H25" i="7"/>
  <c r="I25" i="7"/>
  <c r="J25" i="7"/>
  <c r="K25" i="7"/>
  <c r="L25" i="7"/>
  <c r="M25" i="7"/>
  <c r="N25" i="7"/>
  <c r="O25" i="7"/>
  <c r="F25" i="7"/>
  <c r="D23" i="7"/>
  <c r="D20" i="7"/>
  <c r="D12" i="7"/>
  <c r="B13" i="7"/>
  <c r="B27" i="7" s="1"/>
  <c r="D9" i="7"/>
  <c r="D6" i="7"/>
  <c r="F4" i="7" s="1"/>
  <c r="G4" i="7" s="1"/>
  <c r="H4" i="7" s="1"/>
  <c r="I4" i="7" s="1"/>
  <c r="J4" i="7" s="1"/>
  <c r="K4" i="7" s="1"/>
  <c r="L4" i="7" s="1"/>
  <c r="M4" i="7" s="1"/>
  <c r="N4" i="7" s="1"/>
  <c r="Z16" i="12" l="1"/>
  <c r="P16" i="12"/>
  <c r="S29" i="12"/>
  <c r="O29" i="12"/>
  <c r="Q19" i="12"/>
  <c r="R19" i="12"/>
  <c r="V29" i="12"/>
  <c r="O33" i="12"/>
  <c r="P33" i="12"/>
  <c r="R33" i="12"/>
  <c r="S33" i="12" s="1"/>
  <c r="T33" i="12" s="1"/>
  <c r="U33" i="12" s="1"/>
  <c r="V33" i="12" s="1"/>
  <c r="Q33" i="12"/>
  <c r="O13" i="12"/>
  <c r="P13" i="12" s="1"/>
  <c r="Q13" i="12" s="1"/>
  <c r="R13" i="12" s="1"/>
  <c r="N12" i="12"/>
  <c r="Q29" i="12"/>
  <c r="T29" i="12"/>
  <c r="W29" i="12"/>
  <c r="P29" i="12"/>
  <c r="P19" i="12"/>
  <c r="R29" i="12"/>
  <c r="U29" i="12"/>
  <c r="O10" i="12"/>
  <c r="R16" i="12"/>
  <c r="Q16" i="12"/>
  <c r="P8" i="12"/>
  <c r="Q6" i="12"/>
  <c r="O16" i="12"/>
  <c r="N4" i="12"/>
  <c r="N23" i="12" s="1"/>
  <c r="K35" i="12"/>
  <c r="F35" i="12"/>
  <c r="F36" i="12"/>
  <c r="F3" i="7"/>
  <c r="G3" i="7" s="1"/>
  <c r="H3" i="7" s="1"/>
  <c r="G8" i="7"/>
  <c r="H8" i="7"/>
  <c r="I8" i="7"/>
  <c r="J8" i="7"/>
  <c r="K8" i="7"/>
  <c r="L8" i="7"/>
  <c r="M8" i="7"/>
  <c r="N8" i="7"/>
  <c r="O8" i="7"/>
  <c r="F8" i="7"/>
  <c r="R12" i="7"/>
  <c r="R13" i="7" s="1"/>
  <c r="R15" i="7" s="1"/>
  <c r="G11" i="7"/>
  <c r="H11" i="7"/>
  <c r="I11" i="7"/>
  <c r="J11" i="7"/>
  <c r="K11" i="7"/>
  <c r="L11" i="7"/>
  <c r="M11" i="7"/>
  <c r="N11" i="7"/>
  <c r="O11" i="7"/>
  <c r="F11" i="7"/>
  <c r="G19" i="7"/>
  <c r="H19" i="7"/>
  <c r="I19" i="7"/>
  <c r="J19" i="7"/>
  <c r="K19" i="7"/>
  <c r="L19" i="7"/>
  <c r="M19" i="7"/>
  <c r="N19" i="7"/>
  <c r="O19" i="7"/>
  <c r="F19" i="7"/>
  <c r="S16" i="12" l="1"/>
  <c r="T16" i="12" s="1"/>
  <c r="U16" i="12" s="1"/>
  <c r="V16" i="12" s="1"/>
  <c r="N28" i="12"/>
  <c r="N32" i="12"/>
  <c r="N34" i="12" s="1"/>
  <c r="N35" i="12" s="1"/>
  <c r="N5" i="12"/>
  <c r="N15" i="12"/>
  <c r="N18" i="12"/>
  <c r="N22" i="12" s="1"/>
  <c r="N27" i="12" s="1"/>
  <c r="N36" i="12" s="1"/>
  <c r="N20" i="12"/>
  <c r="P10" i="12"/>
  <c r="R6" i="12"/>
  <c r="Q8" i="12"/>
  <c r="O12" i="12"/>
  <c r="O4" i="12" s="1"/>
  <c r="G7" i="7"/>
  <c r="G13" i="7" s="1"/>
  <c r="H18" i="7"/>
  <c r="G24" i="7"/>
  <c r="F24" i="7"/>
  <c r="F18" i="7"/>
  <c r="G18" i="7"/>
  <c r="F7" i="7"/>
  <c r="F13" i="7" s="1"/>
  <c r="F15" i="7" s="1"/>
  <c r="H7" i="7"/>
  <c r="H24" i="7"/>
  <c r="I3" i="7"/>
  <c r="O28" i="12" l="1"/>
  <c r="O23" i="12"/>
  <c r="O32" i="12"/>
  <c r="O34" i="12" s="1"/>
  <c r="O35" i="12" s="1"/>
  <c r="N37" i="12"/>
  <c r="O18" i="12"/>
  <c r="O22" i="12" s="1"/>
  <c r="O15" i="12"/>
  <c r="O5" i="12"/>
  <c r="O20" i="12"/>
  <c r="S6" i="12"/>
  <c r="R8" i="12"/>
  <c r="Q10" i="12"/>
  <c r="P12" i="12"/>
  <c r="P4" i="12" s="1"/>
  <c r="G10" i="7"/>
  <c r="F10" i="7"/>
  <c r="H13" i="7"/>
  <c r="H10" i="7"/>
  <c r="I24" i="7"/>
  <c r="I18" i="7"/>
  <c r="I7" i="7"/>
  <c r="J3" i="7"/>
  <c r="F17" i="7"/>
  <c r="F21" i="7" s="1"/>
  <c r="F27" i="7" s="1"/>
  <c r="F28" i="7" s="1"/>
  <c r="D16" i="7"/>
  <c r="G15" i="7" s="1"/>
  <c r="H15" i="7" s="1"/>
  <c r="I15" i="7" s="1"/>
  <c r="J15" i="7" s="1"/>
  <c r="K15" i="7" s="1"/>
  <c r="L15" i="7" s="1"/>
  <c r="M15" i="7" s="1"/>
  <c r="N15" i="7" s="1"/>
  <c r="O25" i="12" l="1"/>
  <c r="O27" i="12" s="1"/>
  <c r="O26" i="12" s="1"/>
  <c r="O36" i="12" s="1"/>
  <c r="O37" i="12" s="1"/>
  <c r="P32" i="12"/>
  <c r="P34" i="12" s="1"/>
  <c r="P35" i="12" s="1"/>
  <c r="P28" i="12"/>
  <c r="P23" i="12"/>
  <c r="P5" i="12"/>
  <c r="P18" i="12"/>
  <c r="P22" i="12" s="1"/>
  <c r="P15" i="12"/>
  <c r="P20" i="12"/>
  <c r="R10" i="12"/>
  <c r="T6" i="12"/>
  <c r="S8" i="12"/>
  <c r="Q12" i="12"/>
  <c r="Q4" i="12" s="1"/>
  <c r="G17" i="7"/>
  <c r="G21" i="7" s="1"/>
  <c r="G27" i="7" s="1"/>
  <c r="G28" i="7" s="1"/>
  <c r="J24" i="7"/>
  <c r="J18" i="7"/>
  <c r="J7" i="7"/>
  <c r="K3" i="7"/>
  <c r="I13" i="7"/>
  <c r="I10" i="7"/>
  <c r="Q32" i="12" l="1"/>
  <c r="Q34" i="12" s="1"/>
  <c r="Q35" i="12" s="1"/>
  <c r="Q28" i="12"/>
  <c r="Q23" i="12"/>
  <c r="P25" i="12"/>
  <c r="P27" i="12" s="1"/>
  <c r="P26" i="12" s="1"/>
  <c r="P36" i="12" s="1"/>
  <c r="P37" i="12" s="1"/>
  <c r="U6" i="12"/>
  <c r="T8" i="12"/>
  <c r="Q5" i="12"/>
  <c r="Q15" i="12"/>
  <c r="Q18" i="12"/>
  <c r="Q22" i="12" s="1"/>
  <c r="Q20" i="12"/>
  <c r="S10" i="12"/>
  <c r="R12" i="12"/>
  <c r="R4" i="12" s="1"/>
  <c r="K24" i="7"/>
  <c r="K18" i="7"/>
  <c r="K7" i="7"/>
  <c r="L3" i="7"/>
  <c r="J13" i="7"/>
  <c r="J10" i="7"/>
  <c r="R32" i="12" l="1"/>
  <c r="R34" i="12" s="1"/>
  <c r="R35" i="12" s="1"/>
  <c r="R28" i="12"/>
  <c r="R23" i="12"/>
  <c r="Q25" i="12"/>
  <c r="Q27" i="12" s="1"/>
  <c r="Q26" i="12" s="1"/>
  <c r="Q36" i="12" s="1"/>
  <c r="Q37" i="12" s="1"/>
  <c r="R15" i="12"/>
  <c r="R18" i="12"/>
  <c r="R22" i="12" s="1"/>
  <c r="R5" i="12"/>
  <c r="R20" i="12"/>
  <c r="T10" i="12"/>
  <c r="V6" i="12"/>
  <c r="U8" i="12"/>
  <c r="L24" i="7"/>
  <c r="L18" i="7"/>
  <c r="L7" i="7"/>
  <c r="M3" i="7"/>
  <c r="K13" i="7"/>
  <c r="K10" i="7"/>
  <c r="R25" i="12" l="1"/>
  <c r="R27" i="12" s="1"/>
  <c r="R26" i="12" s="1"/>
  <c r="R36" i="12" s="1"/>
  <c r="R37" i="12" s="1"/>
  <c r="U10" i="12"/>
  <c r="W6" i="12"/>
  <c r="V8" i="12"/>
  <c r="M24" i="7"/>
  <c r="M18" i="7"/>
  <c r="M7" i="7"/>
  <c r="N3" i="7"/>
  <c r="L13" i="7"/>
  <c r="L10" i="7"/>
  <c r="V10" i="12" l="1"/>
  <c r="W8" i="12"/>
  <c r="N24" i="7"/>
  <c r="N18" i="7"/>
  <c r="N7" i="7"/>
  <c r="O3" i="7"/>
  <c r="M13" i="7"/>
  <c r="M10" i="7"/>
  <c r="W10" i="12" l="1"/>
  <c r="O24" i="7"/>
  <c r="O18" i="7"/>
  <c r="O7" i="7"/>
  <c r="N13" i="7"/>
  <c r="N10" i="7"/>
  <c r="O13" i="7" l="1"/>
  <c r="O10" i="7"/>
  <c r="H17" i="7" l="1"/>
  <c r="H21" i="7" s="1"/>
  <c r="H27" i="7" s="1"/>
  <c r="H28" i="7" s="1"/>
  <c r="I17" i="7"/>
  <c r="I21" i="7" s="1"/>
  <c r="I27" i="7" s="1"/>
  <c r="I28" i="7" s="1"/>
  <c r="J17" i="7"/>
  <c r="J21" i="7" s="1"/>
  <c r="J27" i="7" s="1"/>
  <c r="J28" i="7" s="1"/>
  <c r="K17" i="7"/>
  <c r="K21" i="7" s="1"/>
  <c r="K27" i="7" s="1"/>
  <c r="K28" i="7" s="1"/>
  <c r="L17" i="7"/>
  <c r="L21" i="7" s="1"/>
  <c r="L27" i="7" s="1"/>
  <c r="L28" i="7" s="1"/>
  <c r="M17" i="7"/>
  <c r="M21" i="7" s="1"/>
  <c r="M27" i="7" s="1"/>
  <c r="M28" i="7" s="1"/>
  <c r="N17" i="7"/>
  <c r="N21" i="7" s="1"/>
  <c r="N27" i="7" s="1"/>
  <c r="N28" i="7" s="1"/>
  <c r="O17" i="7"/>
  <c r="O21" i="7" s="1"/>
  <c r="O27" i="7" s="1"/>
  <c r="O28" i="7" l="1"/>
  <c r="O29" i="7"/>
  <c r="O30" i="7" s="1"/>
  <c r="O31" i="7"/>
  <c r="O32" i="7" s="1"/>
  <c r="O33" i="7" s="1"/>
  <c r="S13" i="12" l="1"/>
  <c r="T13" i="12" s="1"/>
  <c r="S12" i="12" l="1"/>
  <c r="S4" i="12" s="1"/>
  <c r="S32" i="12" s="1"/>
  <c r="S34" i="12" s="1"/>
  <c r="S35" i="12" s="1"/>
  <c r="U13" i="12"/>
  <c r="T12" i="12"/>
  <c r="T4" i="12" s="1"/>
  <c r="S18" i="12" l="1"/>
  <c r="S22" i="12" s="1"/>
  <c r="S20" i="12"/>
  <c r="S23" i="12"/>
  <c r="S5" i="12"/>
  <c r="S28" i="12"/>
  <c r="S15" i="12"/>
  <c r="T5" i="12"/>
  <c r="T18" i="12"/>
  <c r="T22" i="12" s="1"/>
  <c r="T32" i="12"/>
  <c r="T34" i="12" s="1"/>
  <c r="T35" i="12" s="1"/>
  <c r="T15" i="12"/>
  <c r="T28" i="12"/>
  <c r="T20" i="12"/>
  <c r="T23" i="12"/>
  <c r="U12" i="12"/>
  <c r="U4" i="12" s="1"/>
  <c r="V13" i="12"/>
  <c r="S25" i="12" l="1"/>
  <c r="S27" i="12"/>
  <c r="S26" i="12" s="1"/>
  <c r="S36" i="12" s="1"/>
  <c r="S37" i="12" s="1"/>
  <c r="T25" i="12"/>
  <c r="T27" i="12" s="1"/>
  <c r="T26" i="12" s="1"/>
  <c r="T36" i="12" s="1"/>
  <c r="T37" i="12" s="1"/>
  <c r="V12" i="12"/>
  <c r="V4" i="12" s="1"/>
  <c r="W13" i="12"/>
  <c r="W12" i="12" s="1"/>
  <c r="W4" i="12" s="1"/>
  <c r="U5" i="12"/>
  <c r="U20" i="12"/>
  <c r="U15" i="12"/>
  <c r="U18" i="12"/>
  <c r="U22" i="12" s="1"/>
  <c r="U32" i="12"/>
  <c r="U34" i="12" s="1"/>
  <c r="U35" i="12" s="1"/>
  <c r="U28" i="12"/>
  <c r="U23" i="12"/>
  <c r="W20" i="12" l="1"/>
  <c r="W15" i="12"/>
  <c r="W32" i="12"/>
  <c r="W28" i="12"/>
  <c r="W5" i="12"/>
  <c r="W23" i="12"/>
  <c r="W18" i="12"/>
  <c r="W22" i="12" s="1"/>
  <c r="V18" i="12"/>
  <c r="V22" i="12" s="1"/>
  <c r="V28" i="12"/>
  <c r="V5" i="12"/>
  <c r="V15" i="12"/>
  <c r="V32" i="12"/>
  <c r="V34" i="12" s="1"/>
  <c r="V35" i="12" s="1"/>
  <c r="V23" i="12"/>
  <c r="V20" i="12"/>
  <c r="U25" i="12"/>
  <c r="U27" i="12" s="1"/>
  <c r="U26" i="12" s="1"/>
  <c r="U36" i="12" s="1"/>
  <c r="U37" i="12" s="1"/>
  <c r="W25" i="12" l="1"/>
  <c r="W27" i="12" s="1"/>
  <c r="W26" i="12" s="1"/>
  <c r="W36" i="12" s="1"/>
  <c r="W34" i="12"/>
  <c r="V25" i="12"/>
  <c r="V27" i="12" s="1"/>
  <c r="V26" i="12" s="1"/>
  <c r="V36" i="12" s="1"/>
  <c r="V37" i="12" s="1"/>
  <c r="W35" i="12" l="1"/>
  <c r="W38" i="12"/>
  <c r="W39" i="12" s="1"/>
  <c r="W37" i="12"/>
  <c r="W40" i="12" l="1"/>
  <c r="W41" i="12" s="1"/>
  <c r="W4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Albina Ananyan</author>
  </authors>
  <commentList>
    <comment ref="R3" authorId="0" shapeId="0" xr:uid="{51799204-E6D2-6543-8F02-D8E3AADD2E06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Ferrari claims they will be 40% ICE, 40% Hybrid, and 20% EV by 2030.</t>
        </r>
      </text>
    </comment>
    <comment ref="Z7" authorId="0" shapeId="0" xr:uid="{2F4E6A33-929C-F143-9750-014F4A13D6D9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 used the beta from the CFRA RACE report
</t>
        </r>
      </text>
    </comment>
    <comment ref="R9" authorId="0" shapeId="0" xr:uid="{7C6F2DF4-F054-734C-B1E1-A58729F80873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Combining hybrid and BEV under the same shipment % and assuming they will be in the same price range.
</t>
        </r>
      </text>
    </comment>
    <comment ref="Z9" authorId="0" shapeId="0" xr:uid="{0DE4D6FD-BEA1-7246-BFD4-8DEA4032677F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EU 10-year treasury yield as of Feb 20, 2026</t>
        </r>
      </text>
    </comment>
    <comment ref="O19" authorId="0" shapeId="0" xr:uid="{85A16D2F-49CE-6941-9E46-BE85EE06283A}">
      <text>
        <r>
          <rPr>
            <b/>
            <sz val="10"/>
            <color rgb="FF000000"/>
            <rFont val="Tahoma"/>
            <family val="2"/>
          </rPr>
          <t>Albina Ananyan: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EBIT margins fall with the introduction of BEV. This captures the additional cost of batteries. 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<sst xmlns="http://schemas.openxmlformats.org/spreadsheetml/2006/main" count="278" uniqueCount="180">
  <si>
    <t>2025 (€000)</t>
  </si>
  <si>
    <t>2024 (€000)</t>
  </si>
  <si>
    <t>2023 (€000)</t>
  </si>
  <si>
    <t>Net revenues</t>
  </si>
  <si>
    <t>Cost of sales</t>
  </si>
  <si>
    <t>Selling, general and administrative costs</t>
  </si>
  <si>
    <t>Research and development costs</t>
  </si>
  <si>
    <t>Other expenses, net</t>
  </si>
  <si>
    <t>Result from investments</t>
  </si>
  <si>
    <t>Operating profit (EBIT)</t>
  </si>
  <si>
    <t>Financial income</t>
  </si>
  <si>
    <t>Financial expenses</t>
  </si>
  <si>
    <t>Financial expenses/(income), net</t>
  </si>
  <si>
    <t>Profit before taxes</t>
  </si>
  <si>
    <t>Interest expense</t>
  </si>
  <si>
    <t>Income tax expense</t>
  </si>
  <si>
    <t>Net profit</t>
  </si>
  <si>
    <t>Net profit attributable to: Owners of the parent</t>
  </si>
  <si>
    <t>Net profit attributable to: Non-controlling interests</t>
  </si>
  <si>
    <t>Basic earnings per common share (in €)</t>
  </si>
  <si>
    <t>Diluted earnings per common share (in €)</t>
  </si>
  <si>
    <t>Gains /(Losses) on remeasurement of defined benefit plans</t>
  </si>
  <si>
    <t>Related tax impact</t>
  </si>
  <si>
    <t>Total items not reclassified to income statement</t>
  </si>
  <si>
    <t>Gains/(Losses) on cash flow hedging instruments</t>
  </si>
  <si>
    <t>Exchange differences on translating foreign operations</t>
  </si>
  <si>
    <t>Total items that may be reclassified to income statement</t>
  </si>
  <si>
    <t>Total other comprehensive income/(loss), net of tax</t>
  </si>
  <si>
    <t>Total comprehensive income</t>
  </si>
  <si>
    <t>Total comprehensive income attributable to: Owners of the parent</t>
  </si>
  <si>
    <t>Total comprehensive income attributable to: Non-controlling interests</t>
  </si>
  <si>
    <t>Goodwill</t>
  </si>
  <si>
    <t>Intangible assets</t>
  </si>
  <si>
    <t>Property, plant and equipment</t>
  </si>
  <si>
    <t>Investments and other financial assets</t>
  </si>
  <si>
    <t>Deferred tax assets</t>
  </si>
  <si>
    <t>Total non-current assets</t>
  </si>
  <si>
    <t>Inventories</t>
  </si>
  <si>
    <t>Trade receivables</t>
  </si>
  <si>
    <t>Receivables from financing activities</t>
  </si>
  <si>
    <t>Tax receivables</t>
  </si>
  <si>
    <t>Other current assets</t>
  </si>
  <si>
    <t>Current financial assets</t>
  </si>
  <si>
    <t>Cash and cash equivalents</t>
  </si>
  <si>
    <t>Total operating assets</t>
  </si>
  <si>
    <t>Total current assets</t>
  </si>
  <si>
    <t>Total assets</t>
  </si>
  <si>
    <t>Equity attributable to owners of the parent</t>
  </si>
  <si>
    <t>Non-controlling interests</t>
  </si>
  <si>
    <t>Total equity</t>
  </si>
  <si>
    <t>Employee benefits</t>
  </si>
  <si>
    <t>Provisions</t>
  </si>
  <si>
    <t>Deferred tax liabilities</t>
  </si>
  <si>
    <t>Debt</t>
  </si>
  <si>
    <t>Other liabilities</t>
  </si>
  <si>
    <t>Other financial liabilities</t>
  </si>
  <si>
    <t>Trade payables</t>
  </si>
  <si>
    <t>Tax payables</t>
  </si>
  <si>
    <t>Total operating liabilities</t>
  </si>
  <si>
    <t>Total equity and liabilities</t>
  </si>
  <si>
    <t>Number of shares outstanding</t>
  </si>
  <si>
    <t>Stock price (as of 2/23/2026)</t>
  </si>
  <si>
    <t>Stock price (as of 2/23/2026, FX converted)</t>
  </si>
  <si>
    <t xml:space="preserve">Market value of equity </t>
  </si>
  <si>
    <t>Cash and cash equivalents at beginning of year</t>
  </si>
  <si>
    <t>Amortization and depreciation</t>
  </si>
  <si>
    <t>Provision accruals</t>
  </si>
  <si>
    <t>Other non-cash expenses, net</t>
  </si>
  <si>
    <t>Change in inventories</t>
  </si>
  <si>
    <t>Change in trade receivables</t>
  </si>
  <si>
    <t>Change in trade payables</t>
  </si>
  <si>
    <t>Change in receivables from financing activities</t>
  </si>
  <si>
    <t>Change in other operating assets and liabilities</t>
  </si>
  <si>
    <t>Finance income received</t>
  </si>
  <si>
    <t>Finance costs paid</t>
  </si>
  <si>
    <t>Income tax paid</t>
  </si>
  <si>
    <t>Total cash flows from operating activities</t>
  </si>
  <si>
    <t>Investments in intangible assets</t>
  </si>
  <si>
    <t>Investments in property, plant and equipment</t>
  </si>
  <si>
    <t>Acquisition of subsidiary and other investments</t>
  </si>
  <si>
    <t>Proceeds from sale of PPE and intangibles</t>
  </si>
  <si>
    <t>Total cash flows used in investing activities</t>
  </si>
  <si>
    <t>Repayments of bonds and notes</t>
  </si>
  <si>
    <t>Proceeds from bonds and notes</t>
  </si>
  <si>
    <t>Repayments of securitizations</t>
  </si>
  <si>
    <t>Proceeds from securitizations</t>
  </si>
  <si>
    <t>Repayments of borrowings</t>
  </si>
  <si>
    <t>Proceeds from borrowings</t>
  </si>
  <si>
    <t>Repayments of other debt</t>
  </si>
  <si>
    <t>Proceeds from other debt</t>
  </si>
  <si>
    <t>Repayments of lease liabilities</t>
  </si>
  <si>
    <t>Dividends paid to owners of the parent</t>
  </si>
  <si>
    <t>Dividends paid to non-controlling interests</t>
  </si>
  <si>
    <t>Share repurchases</t>
  </si>
  <si>
    <t>Total cash flows used in financing activities</t>
  </si>
  <si>
    <t>Translation exchange differences</t>
  </si>
  <si>
    <t>Total change in cash and cash equivalents</t>
  </si>
  <si>
    <t>Cash and cash equivalents at end of year</t>
  </si>
  <si>
    <t>Share capital</t>
  </si>
  <si>
    <t>Retained earnings and other reserves</t>
  </si>
  <si>
    <t>Cash flow hedge reserve</t>
  </si>
  <si>
    <t>Currency translation differences</t>
  </si>
  <si>
    <t>Remeasurement of defined benefit plans</t>
  </si>
  <si>
    <t>Revenue</t>
  </si>
  <si>
    <t>Revenue Growth</t>
  </si>
  <si>
    <t>EBIT</t>
  </si>
  <si>
    <t>Beta</t>
  </si>
  <si>
    <t>EBIT Margin</t>
  </si>
  <si>
    <t>MRP</t>
  </si>
  <si>
    <t>D&amp;A</t>
  </si>
  <si>
    <t>CapEx</t>
  </si>
  <si>
    <t>Tax Rate</t>
  </si>
  <si>
    <t>NOPAT</t>
  </si>
  <si>
    <t>PV(TV)</t>
  </si>
  <si>
    <t>Historical FCFF</t>
  </si>
  <si>
    <t> </t>
  </si>
  <si>
    <t>Forecasted FCFF</t>
  </si>
  <si>
    <t>WACC</t>
  </si>
  <si>
    <t>Market Value of Equity </t>
  </si>
  <si>
    <t>Total Debt</t>
  </si>
  <si>
    <t>Intrinsic Price</t>
  </si>
  <si>
    <t>W(E)</t>
  </si>
  <si>
    <t>Pre-Tax Income</t>
  </si>
  <si>
    <t>W(D)</t>
  </si>
  <si>
    <t xml:space="preserve">Average Growth Rate </t>
  </si>
  <si>
    <t>Risk Free Rate</t>
  </si>
  <si>
    <t xml:space="preserve">Average EBIT Margin </t>
  </si>
  <si>
    <t>Cost of Equity</t>
  </si>
  <si>
    <t>Tax Expense</t>
  </si>
  <si>
    <t>Interest Expense</t>
  </si>
  <si>
    <t>Cost of Debt</t>
  </si>
  <si>
    <t xml:space="preserve">Average Tax Rate </t>
  </si>
  <si>
    <t>After-Tax Cost of Debt</t>
  </si>
  <si>
    <t>Invested Capital</t>
  </si>
  <si>
    <t>Terminal Growth Rate</t>
  </si>
  <si>
    <t>ROIC</t>
  </si>
  <si>
    <t>Average ROIC</t>
  </si>
  <si>
    <t>Reinvestment</t>
  </si>
  <si>
    <t>D&amp;A (% of Revenue)</t>
  </si>
  <si>
    <t xml:space="preserve">Average D&amp;A </t>
  </si>
  <si>
    <t>CapEx (% of Revenue)</t>
  </si>
  <si>
    <t>Average CapEx</t>
  </si>
  <si>
    <t>Change in NWC</t>
  </si>
  <si>
    <t>Change in NWC (% of Revenue)</t>
  </si>
  <si>
    <t xml:space="preserve">Average Change in NWC </t>
  </si>
  <si>
    <t>FCFF</t>
  </si>
  <si>
    <t>PV(FCFF)</t>
  </si>
  <si>
    <t>Terminal Value</t>
  </si>
  <si>
    <t>Enterprise Value</t>
  </si>
  <si>
    <t>Equity Value</t>
  </si>
  <si>
    <t>Average Selling Price (ASP)</t>
  </si>
  <si>
    <t>Research &amp; Development (R&amp;D)</t>
  </si>
  <si>
    <t>Total Shipments</t>
  </si>
  <si>
    <t>Automotive Revenue</t>
  </si>
  <si>
    <t>Sponsorship, Commercial, Brand, and Other Revenue</t>
  </si>
  <si>
    <t>Sponsorship, Commercial, Brand, and Other Revenue Growth</t>
  </si>
  <si>
    <t>Total Shipment Growth</t>
  </si>
  <si>
    <t>ASP Growth</t>
  </si>
  <si>
    <t>R&amp;D (% of Revenue)</t>
  </si>
  <si>
    <t>Transition Stage (BEV)</t>
  </si>
  <si>
    <t>Stabilization Stage</t>
  </si>
  <si>
    <t>Beta / Terminal Growth</t>
  </si>
  <si>
    <t>WACC / Terminal Growth</t>
  </si>
  <si>
    <t>2022 (€000)</t>
  </si>
  <si>
    <t>2021 (€000)</t>
  </si>
  <si>
    <t>2020 (€000)</t>
  </si>
  <si>
    <t>2019 (€000)</t>
  </si>
  <si>
    <t>2018 (€000)</t>
  </si>
  <si>
    <t>2017 (€000)</t>
  </si>
  <si>
    <t>2015 (€000)</t>
  </si>
  <si>
    <t>2016 (€000)</t>
  </si>
  <si>
    <t>Intrinsic Value</t>
  </si>
  <si>
    <t>NWC</t>
  </si>
  <si>
    <t>NWC (% of Revenue)</t>
  </si>
  <si>
    <t>Reinvestment Rate</t>
  </si>
  <si>
    <t>OWC</t>
  </si>
  <si>
    <t>Total operating current assets</t>
  </si>
  <si>
    <t>Hybrid Shipments / Hybrid &amp; BEV (in the projections)</t>
  </si>
  <si>
    <t>Hybrid Shipments / Hybrid &amp; BEV  (% of Total Shipments)</t>
  </si>
  <si>
    <t>Invested Capital (%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</si>
</sst>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[$€-2]\ * #,##0.00_);_([$€-2]\ * \(#,##0.00\);_([$€-2]\ * &quot;-&quot;??_);_(@_)"/>
    <numFmt numFmtId="165" formatCode="_([$$-409]* #,##0.00_);_([$$-409]* \(#,##0.00\);_([$$-409]* &quot;-&quot;??_);_(@_)"/>
    <numFmt numFmtId="166" formatCode="0.0000%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color rgb="FF000000"/>
      <name val="Tahoma"/>
      <family val="2"/>
    </font>
    <font>
      <sz val="9"/>
      <color rgb="FF20201F"/>
      <name val="Helvetica"/>
      <family val="2"/>
    </font>
    <font>
      <sz val="8"/>
      <name val="Calibri"/>
      <family val="2"/>
      <scheme val="minor"/>
    </font>
    <font>
      <b/>
      <sz val="10"/>
      <color rgb="FF000000"/>
      <name val="Tahoma"/>
      <family val="2"/>
    </font>
    <font>
      <sz val="11"/>
      <color theme="1"/>
      <name val="Calibri"/>
      <family val="2"/>
      <charset val="1"/>
    </font>
    <font>
      <i/>
      <sz val="11"/>
      <color rgb="FFFF0000"/>
      <name val="Calibri"/>
      <family val="2"/>
      <charset val="1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 style="thin">
        <color indexed="64"/>
      </left>
      <right/>
      <top style="double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4" borderId="0" xfId="0" applyFont="1" applyFill="1"/>
    <xf numFmtId="0" fontId="3" fillId="0" borderId="0" xfId="0" applyFont="1"/>
    <xf numFmtId="0" fontId="3" fillId="5" borderId="0" xfId="0" applyFont="1" applyFill="1"/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6" fillId="0" borderId="0" xfId="0" applyFont="1"/>
    <xf numFmtId="10" fontId="6" fillId="0" borderId="0" xfId="0" applyNumberFormat="1" applyFont="1"/>
    <xf numFmtId="0" fontId="7" fillId="0" borderId="0" xfId="0" applyFont="1"/>
    <xf numFmtId="10" fontId="5" fillId="0" borderId="2" xfId="0" applyNumberFormat="1" applyFont="1" applyBorder="1"/>
    <xf numFmtId="0" fontId="7" fillId="7" borderId="0" xfId="0" applyFont="1" applyFill="1"/>
    <xf numFmtId="0" fontId="6" fillId="7" borderId="0" xfId="0" applyFont="1" applyFill="1"/>
    <xf numFmtId="10" fontId="7" fillId="0" borderId="0" xfId="0" applyNumberFormat="1" applyFont="1"/>
    <xf numFmtId="0" fontId="5" fillId="0" borderId="5" xfId="0" applyFont="1" applyBorder="1"/>
    <xf numFmtId="10" fontId="5" fillId="0" borderId="6" xfId="0" applyNumberFormat="1" applyFont="1" applyBorder="1"/>
    <xf numFmtId="10" fontId="5" fillId="0" borderId="0" xfId="0" applyNumberFormat="1" applyFont="1"/>
    <xf numFmtId="0" fontId="5" fillId="7" borderId="0" xfId="0" applyFont="1" applyFill="1"/>
    <xf numFmtId="0" fontId="5" fillId="0" borderId="7" xfId="0" applyFont="1" applyBorder="1"/>
    <xf numFmtId="0" fontId="5" fillId="0" borderId="8" xfId="0" applyFont="1" applyBorder="1"/>
    <xf numFmtId="10" fontId="5" fillId="0" borderId="3" xfId="0" applyNumberFormat="1" applyFont="1" applyBorder="1"/>
    <xf numFmtId="0" fontId="4" fillId="8" borderId="9" xfId="0" applyFont="1" applyFill="1" applyBorder="1"/>
    <xf numFmtId="10" fontId="4" fillId="8" borderId="4" xfId="0" applyNumberFormat="1" applyFont="1" applyFill="1" applyBorder="1"/>
    <xf numFmtId="0" fontId="4" fillId="0" borderId="10" xfId="0" applyFont="1" applyBorder="1"/>
    <xf numFmtId="0" fontId="4" fillId="0" borderId="11" xfId="0" applyFont="1" applyBorder="1"/>
    <xf numFmtId="0" fontId="5" fillId="0" borderId="11" xfId="0" applyFont="1" applyBorder="1"/>
    <xf numFmtId="0" fontId="4" fillId="0" borderId="12" xfId="0" applyFont="1" applyBorder="1"/>
    <xf numFmtId="0" fontId="5" fillId="0" borderId="12" xfId="0" applyFont="1" applyBorder="1"/>
    <xf numFmtId="0" fontId="3" fillId="6" borderId="13" xfId="0" applyFont="1" applyFill="1" applyBorder="1"/>
    <xf numFmtId="0" fontId="3" fillId="6" borderId="14" xfId="0" applyFont="1" applyFill="1" applyBorder="1"/>
    <xf numFmtId="164" fontId="0" fillId="0" borderId="7" xfId="0" applyNumberFormat="1" applyBorder="1"/>
    <xf numFmtId="0" fontId="2" fillId="0" borderId="7" xfId="0" applyFont="1" applyBorder="1"/>
    <xf numFmtId="0" fontId="1" fillId="2" borderId="0" xfId="0" applyFont="1" applyFill="1" applyAlignment="1">
      <alignment horizontal="center" vertical="top"/>
    </xf>
    <xf numFmtId="164" fontId="5" fillId="0" borderId="0" xfId="0" applyNumberFormat="1" applyFont="1"/>
    <xf numFmtId="164" fontId="6" fillId="0" borderId="0" xfId="0" applyNumberFormat="1" applyFont="1"/>
    <xf numFmtId="164" fontId="6" fillId="7" borderId="0" xfId="0" applyNumberFormat="1" applyFont="1" applyFill="1"/>
    <xf numFmtId="164" fontId="5" fillId="7" borderId="0" xfId="0" applyNumberFormat="1" applyFont="1" applyFill="1"/>
    <xf numFmtId="164" fontId="5" fillId="0" borderId="7" xfId="0" applyNumberFormat="1" applyFont="1" applyBorder="1"/>
    <xf numFmtId="164" fontId="8" fillId="0" borderId="0" xfId="0" applyNumberFormat="1" applyFont="1"/>
    <xf numFmtId="10" fontId="7" fillId="10" borderId="0" xfId="0" applyNumberFormat="1" applyFont="1" applyFill="1"/>
    <xf numFmtId="164" fontId="4" fillId="0" borderId="10" xfId="0" applyNumberFormat="1" applyFont="1" applyBorder="1"/>
    <xf numFmtId="164" fontId="5" fillId="0" borderId="2" xfId="0" applyNumberFormat="1" applyFont="1" applyBorder="1"/>
    <xf numFmtId="0" fontId="0" fillId="0" borderId="7" xfId="0" applyBorder="1"/>
    <xf numFmtId="43" fontId="0" fillId="0" borderId="7" xfId="0" applyNumberFormat="1" applyBorder="1"/>
    <xf numFmtId="165" fontId="0" fillId="0" borderId="0" xfId="0" applyNumberFormat="1"/>
    <xf numFmtId="166" fontId="5" fillId="0" borderId="2" xfId="0" applyNumberFormat="1" applyFont="1" applyBorder="1"/>
    <xf numFmtId="164" fontId="4" fillId="0" borderId="0" xfId="0" applyNumberFormat="1" applyFont="1"/>
    <xf numFmtId="164" fontId="9" fillId="0" borderId="0" xfId="0" applyNumberFormat="1" applyFont="1"/>
    <xf numFmtId="164" fontId="4" fillId="0" borderId="11" xfId="0" applyNumberFormat="1" applyFont="1" applyBorder="1"/>
    <xf numFmtId="164" fontId="4" fillId="9" borderId="11" xfId="0" applyNumberFormat="1" applyFont="1" applyFill="1" applyBorder="1"/>
    <xf numFmtId="164" fontId="4" fillId="9" borderId="12" xfId="0" applyNumberFormat="1" applyFont="1" applyFill="1" applyBorder="1"/>
    <xf numFmtId="164" fontId="5" fillId="0" borderId="10" xfId="0" applyNumberFormat="1" applyFont="1" applyBorder="1"/>
    <xf numFmtId="0" fontId="11" fillId="0" borderId="0" xfId="0" applyFont="1" applyAlignment="1">
      <alignment wrapText="1"/>
    </xf>
    <xf numFmtId="10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164" fontId="12" fillId="0" borderId="15" xfId="0" applyNumberFormat="1" applyFont="1" applyBorder="1" applyAlignment="1">
      <alignment wrapText="1"/>
    </xf>
    <xf numFmtId="164" fontId="11" fillId="0" borderId="15" xfId="0" applyNumberFormat="1" applyFont="1" applyBorder="1" applyAlignment="1">
      <alignment wrapText="1"/>
    </xf>
    <xf numFmtId="10" fontId="5" fillId="7" borderId="15" xfId="0" applyNumberFormat="1" applyFont="1" applyFill="1" applyBorder="1" applyAlignment="1">
      <alignment horizontal="right"/>
    </xf>
    <xf numFmtId="3" fontId="10" fillId="0" borderId="0" xfId="0" applyNumberFormat="1" applyFont="1"/>
    <xf numFmtId="10" fontId="6" fillId="3" borderId="0" xfId="0" applyNumberFormat="1" applyFont="1" applyFill="1"/>
    <xf numFmtId="0" fontId="6" fillId="0" borderId="0" xfId="0" applyFont="1" applyAlignment="1">
      <alignment horizontal="left" indent="1"/>
    </xf>
    <xf numFmtId="10" fontId="14" fillId="0" borderId="0" xfId="1" applyNumberFormat="1" applyFont="1"/>
    <xf numFmtId="10" fontId="15" fillId="0" borderId="0" xfId="1" applyNumberFormat="1" applyFont="1"/>
    <xf numFmtId="10" fontId="17" fillId="0" borderId="0" xfId="0" applyNumberFormat="1" applyFont="1"/>
    <xf numFmtId="164" fontId="3" fillId="4" borderId="15" xfId="0" applyNumberFormat="1" applyFont="1" applyFill="1" applyBorder="1" applyAlignment="1">
      <alignment horizontal="center"/>
    </xf>
    <xf numFmtId="0" fontId="1" fillId="11" borderId="0" xfId="0" applyFont="1" applyFill="1"/>
    <xf numFmtId="0" fontId="0" fillId="11" borderId="0" xfId="0" applyFill="1"/>
    <xf numFmtId="0" fontId="0" fillId="11" borderId="16" xfId="0" applyFill="1" applyBorder="1"/>
    <xf numFmtId="0" fontId="3" fillId="12" borderId="0" xfId="0" applyFont="1" applyFill="1"/>
    <xf numFmtId="0" fontId="3" fillId="12" borderId="16" xfId="0" applyFont="1" applyFill="1" applyBorder="1"/>
    <xf numFmtId="2" fontId="5" fillId="7" borderId="15" xfId="0" applyNumberFormat="1" applyFont="1" applyFill="1" applyBorder="1"/>
    <xf numFmtId="10" fontId="5" fillId="7" borderId="15" xfId="1" applyNumberFormat="1" applyFont="1" applyFill="1" applyBorder="1"/>
    <xf numFmtId="164" fontId="12" fillId="13" borderId="15" xfId="0" applyNumberFormat="1" applyFont="1" applyFill="1" applyBorder="1" applyAlignment="1">
      <alignment wrapText="1"/>
    </xf>
    <xf numFmtId="164" fontId="12" fillId="14" borderId="15" xfId="0" applyNumberFormat="1" applyFont="1" applyFill="1" applyBorder="1" applyAlignment="1">
      <alignment wrapText="1"/>
    </xf>
    <xf numFmtId="164" fontId="5" fillId="0" borderId="15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0" fontId="7" fillId="3" borderId="0" xfId="0" applyFont="1" applyFill="1"/>
    <xf numFmtId="0" fontId="5" fillId="3" borderId="0" xfId="0" applyFont="1" applyFill="1"/>
    <xf numFmtId="164" fontId="8" fillId="3" borderId="0" xfId="0" applyNumberFormat="1" applyFont="1" applyFill="1"/>
    <xf numFmtId="10" fontId="14" fillId="0" borderId="0" xfId="0" applyNumberFormat="1" applyFont="1"/>
    <xf numFmtId="0" fontId="14" fillId="0" borderId="0" xfId="0" applyFont="1"/>
    <xf numFmtId="0" fontId="10" fillId="14" borderId="17" xfId="0" applyFont="1" applyFill="1" applyBorder="1" applyAlignment="1">
      <alignment horizontal="left" indent="1"/>
    </xf>
    <xf numFmtId="0" fontId="14" fillId="14" borderId="18" xfId="0" applyFont="1" applyFill="1" applyBorder="1" applyAlignment="1">
      <alignment horizontal="left" indent="1"/>
    </xf>
    <xf numFmtId="0" fontId="0" fillId="14" borderId="18" xfId="0" applyFill="1" applyBorder="1" applyAlignment="1">
      <alignment horizontal="left" indent="1"/>
    </xf>
    <xf numFmtId="0" fontId="10" fillId="14" borderId="18" xfId="0" applyFont="1" applyFill="1" applyBorder="1" applyAlignment="1">
      <alignment horizontal="left" indent="1"/>
    </xf>
    <xf numFmtId="10" fontId="14" fillId="14" borderId="19" xfId="1" applyNumberFormat="1" applyFont="1" applyFill="1" applyBorder="1" applyAlignment="1">
      <alignment horizontal="left" indent="1"/>
    </xf>
    <xf numFmtId="0" fontId="6" fillId="3" borderId="19" xfId="0" applyFont="1" applyFill="1" applyBorder="1" applyAlignment="1">
      <alignment horizontal="left" indent="1"/>
    </xf>
    <xf numFmtId="10" fontId="16" fillId="0" borderId="0" xfId="0" applyNumberFormat="1" applyFont="1"/>
    <xf numFmtId="9" fontId="16" fillId="0" borderId="0" xfId="1" applyFont="1" applyFill="1"/>
    <xf numFmtId="10" fontId="14" fillId="0" borderId="0" xfId="1" applyNumberFormat="1" applyFont="1" applyFill="1"/>
    <xf numFmtId="0" fontId="19" fillId="0" borderId="0" xfId="0" applyFont="1"/>
    <xf numFmtId="0" fontId="0" fillId="3" borderId="0" xfId="0" applyFill="1" applyAlignment="1">
      <alignment horizontal="left" indent="1"/>
    </xf>
    <xf numFmtId="0" fontId="14" fillId="3" borderId="0" xfId="0" applyFont="1" applyFill="1" applyAlignment="1">
      <alignment horizontal="left" indent="1"/>
    </xf>
    <xf numFmtId="10" fontId="14" fillId="3" borderId="0" xfId="1" applyNumberFormat="1" applyFont="1" applyFill="1"/>
    <xf numFmtId="10" fontId="14" fillId="0" borderId="20" xfId="1" applyNumberFormat="1" applyFont="1" applyBorder="1"/>
    <xf numFmtId="10" fontId="6" fillId="0" borderId="20" xfId="0" applyNumberFormat="1" applyFont="1" applyBorder="1"/>
    <xf numFmtId="0" fontId="0" fillId="15" borderId="0" xfId="0" applyFill="1"/>
    <xf numFmtId="0" fontId="1" fillId="15" borderId="0" xfId="0" applyFont="1" applyFill="1"/>
    <xf numFmtId="0" fontId="1" fillId="0" borderId="0" xfId="0" applyFont="1" applyAlignment="1">
      <alignment horizontal="center" vertical="top"/>
    </xf>
    <xf numFmtId="10" fontId="6" fillId="0" borderId="21" xfId="0" applyNumberFormat="1" applyFont="1" applyBorder="1"/>
    <xf numFmtId="164" fontId="5" fillId="3" borderId="0" xfId="0" applyNumberFormat="1" applyFont="1" applyFill="1"/>
    <xf numFmtId="10" fontId="14" fillId="0" borderId="21" xfId="0" applyNumberFormat="1" applyFont="1" applyBorder="1"/>
    <xf numFmtId="164" fontId="8" fillId="3" borderId="20" xfId="0" applyNumberFormat="1" applyFont="1" applyFill="1" applyBorder="1"/>
    <xf numFmtId="164" fontId="8" fillId="0" borderId="20" xfId="0" applyNumberFormat="1" applyFont="1" applyBorder="1"/>
    <xf numFmtId="164" fontId="5" fillId="3" borderId="20" xfId="0" applyNumberFormat="1" applyFont="1" applyFill="1" applyBorder="1"/>
    <xf numFmtId="0" fontId="10" fillId="0" borderId="0" xfId="0" applyFont="1" applyAlignment="1">
      <alignment horizontal="left"/>
    </xf>
    <xf numFmtId="0" fontId="14" fillId="0" borderId="0" xfId="0" applyFont="1" applyAlignment="1">
      <alignment horizontal="left" indent="1"/>
    </xf>
    <xf numFmtId="0" fontId="5" fillId="3" borderId="17" xfId="0" applyFont="1" applyFill="1" applyBorder="1" applyAlignment="1">
      <alignment horizontal="left"/>
    </xf>
    <xf numFmtId="164" fontId="5" fillId="0" borderId="20" xfId="0" applyNumberFormat="1" applyFont="1" applyBorder="1"/>
    <xf numFmtId="164" fontId="22" fillId="0" borderId="0" xfId="0" applyNumberFormat="1" applyFont="1"/>
    <xf numFmtId="164" fontId="22" fillId="3" borderId="0" xfId="0" applyNumberFormat="1" applyFont="1" applyFill="1"/>
    <xf numFmtId="9" fontId="17" fillId="3" borderId="0" xfId="1" applyFont="1" applyFill="1"/>
    <xf numFmtId="164" fontId="0" fillId="15" borderId="0" xfId="0" applyNumberFormat="1" applyFill="1"/>
    <xf numFmtId="10" fontId="23" fillId="0" borderId="0" xfId="0" applyNumberFormat="1" applyFont="1"/>
    <xf numFmtId="0" fontId="4" fillId="0" borderId="20" xfId="0" applyFont="1" applyBorder="1"/>
    <xf numFmtId="10" fontId="17" fillId="0" borderId="20" xfId="0" applyNumberFormat="1" applyFont="1" applyBorder="1"/>
    <xf numFmtId="0" fontId="5" fillId="0" borderId="20" xfId="0" applyFont="1" applyBorder="1"/>
    <xf numFmtId="0" fontId="5" fillId="0" borderId="22" xfId="0" applyFont="1" applyBorder="1"/>
    <xf numFmtId="0" fontId="5" fillId="0" borderId="23" xfId="0" applyFont="1" applyBorder="1"/>
    <xf numFmtId="3" fontId="10" fillId="0" borderId="20" xfId="0" applyNumberFormat="1" applyFont="1" applyBorder="1"/>
    <xf numFmtId="10" fontId="14" fillId="0" borderId="20" xfId="0" applyNumberFormat="1" applyFont="1" applyBorder="1"/>
    <xf numFmtId="10" fontId="14" fillId="0" borderId="0" xfId="1" applyNumberFormat="1" applyFont="1" applyBorder="1"/>
    <xf numFmtId="3" fontId="10" fillId="16" borderId="0" xfId="0" applyNumberFormat="1" applyFont="1" applyFill="1"/>
    <xf numFmtId="3" fontId="10" fillId="16" borderId="20" xfId="0" applyNumberFormat="1" applyFont="1" applyFill="1" applyBorder="1"/>
    <xf numFmtId="10" fontId="6" fillId="16" borderId="0" xfId="0" applyNumberFormat="1" applyFont="1" applyFill="1"/>
    <xf numFmtId="164" fontId="5" fillId="0" borderId="24" xfId="0" applyNumberFormat="1" applyFont="1" applyBorder="1"/>
    <xf numFmtId="10" fontId="17" fillId="0" borderId="0" xfId="1" applyNumberFormat="1" applyFont="1"/>
    <xf numFmtId="0" fontId="14" fillId="3" borderId="0" xfId="0" applyFont="1" applyFill="1"/>
    <xf numFmtId="9" fontId="14" fillId="0" borderId="0" xfId="1" applyFont="1"/>
    <xf numFmtId="10" fontId="14" fillId="3" borderId="20" xfId="1" applyNumberFormat="1" applyFont="1" applyFill="1" applyBorder="1"/>
    <xf numFmtId="10" fontId="6" fillId="16" borderId="20" xfId="0" applyNumberFormat="1" applyFont="1" applyFill="1" applyBorder="1"/>
    <xf numFmtId="0" fontId="7" fillId="3" borderId="20" xfId="0" applyFont="1" applyFill="1" applyBorder="1"/>
    <xf numFmtId="10" fontId="6" fillId="3" borderId="20" xfId="0" applyNumberFormat="1" applyFont="1" applyFill="1" applyBorder="1"/>
    <xf numFmtId="164" fontId="5" fillId="0" borderId="25" xfId="0" applyNumberFormat="1" applyFont="1" applyBorder="1"/>
    <xf numFmtId="164" fontId="9" fillId="0" borderId="20" xfId="0" applyNumberFormat="1" applyFont="1" applyBorder="1"/>
    <xf numFmtId="10" fontId="22" fillId="0" borderId="0" xfId="1" applyNumberFormat="1" applyFont="1"/>
    <xf numFmtId="164" fontId="22" fillId="0" borderId="20" xfId="0" applyNumberFormat="1" applyFont="1" applyBorder="1"/>
    <xf numFmtId="10" fontId="22" fillId="0" borderId="20" xfId="1" applyNumberFormat="1" applyFont="1" applyBorder="1"/>
    <xf numFmtId="10" fontId="0" fillId="0" borderId="0" xfId="0" applyNumberFormat="1"/>
    <xf numFmtId="10" fontId="23" fillId="0" borderId="20" xfId="0" applyNumberFormat="1" applyFont="1" applyBorder="1"/>
    <xf numFmtId="164" fontId="10" fillId="0" borderId="15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'DCF (EV) NEW'!$N$3:$W$3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'DCF (EV) NEW'!$N$4:$W$4</c:f>
              <c:numCache>
                <c:formatCode>_([$€-2]\ * #,##0.00_);_([$€-2]\ * \(#,##0.00\);_([$€-2]\ * "-"??_);_(@_)</c:formatCode>
                <c:ptCount val="10"/>
                <c:pt idx="0">
                  <c:v>8101205.3903117441</c:v>
                </c:pt>
                <c:pt idx="1">
                  <c:v>9184423.9941684268</c:v>
                </c:pt>
                <c:pt idx="2">
                  <c:v>10226228.140831374</c:v>
                </c:pt>
                <c:pt idx="3">
                  <c:v>11386613.121065754</c:v>
                </c:pt>
                <c:pt idx="4">
                  <c:v>12679127.232025078</c:v>
                </c:pt>
                <c:pt idx="5">
                  <c:v>13947660.590995075</c:v>
                </c:pt>
                <c:pt idx="6">
                  <c:v>15099883.692662574</c:v>
                </c:pt>
                <c:pt idx="7">
                  <c:v>16082987.177412499</c:v>
                </c:pt>
                <c:pt idx="8">
                  <c:v>16847909.286421034</c:v>
                </c:pt>
                <c:pt idx="9">
                  <c:v>17353346.565013666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1-D84A-9104-B6189D7C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671968"/>
        <c:axId val="16276736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'DCF (EV) NEW'!$N$3:$W$3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'DCF (EV) NEW'!$N$5:$W$5</c:f>
              <c:numCache>
                <c:formatCode>0.00%</c:formatCode>
                <c:ptCount val="10"/>
                <c:pt idx="0">
                  <c:v>0.13370674647032257</c:v>
                </c:pt>
                <c:pt idx="1">
                  <c:v>0.13371079384706222</c:v>
                </c:pt>
                <c:pt idx="2">
                  <c:v>0.11343162590538412</c:v>
                </c:pt>
                <c:pt idx="3">
                  <c:v>0.11347145440665317</c:v>
                </c:pt>
                <c:pt idx="4">
                  <c:v>0.11351172620136825</c:v>
                </c:pt>
                <c:pt idx="5">
                  <c:v>0.10004894940764709</c:v>
                </c:pt>
                <c:pt idx="6">
                  <c:v>8.2610491856347612E-2</c:v>
                </c:pt>
                <c:pt idx="7">
                  <c:v>6.510669252556163E-2</c:v>
                </c:pt>
                <c:pt idx="8">
                  <c:v>4.7560947513706826E-2</c:v>
                </c:pt>
                <c:pt idx="9">
                  <c:v>3.0000000000000013E-2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1-D84A-9104-B6189D7C6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738144"/>
        <c:axId val="1627731696"/>
      </c:lineChart>
      <c:catAx>
        <c:axId val="16276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73680"/>
        <c:crosses val="autoZero"/>
        <c:auto val="1"/>
        <c:lblAlgn val="ctr"/>
        <c:lblOffset val="100"/>
        <c:noMultiLvlLbl val="0"/>
      </c:catAx>
      <c:valAx>
        <c:axId val="1627673680"/>
        <c:scaling>
          <c:orientation val="minMax"/>
        </c:scaling>
        <c:delete val="0"/>
        <c:axPos val="l"/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71968"/>
        <c:crosses val="autoZero"/>
        <c:crossBetween val="between"/>
      </c:valAx>
      <c:valAx>
        <c:axId val="16277316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38144"/>
        <c:crosses val="max"/>
        <c:crossBetween val="between"/>
      </c:valAx>
      <c:catAx>
        <c:axId val="1627738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77316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72572</xdr:colOff>
      <xdr:row>19</xdr:row>
      <xdr:rowOff>58058</xdr:rowOff>
    </xdr:from>
    <xdr:to>
      <xdr:col>28</xdr:col>
      <xdr:colOff>508000</xdr:colOff>
      <xdr:row>33</xdr:row>
      <xdr:rowOff>19958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4258B-AED7-7D6A-E327-5C833A4F9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55.1640625" customWidth="1"/>
    <col min="2" max="4" width="21.6640625" customWidth="1"/>
  </cols>
  <sheetData>
    <row r="1" spans="1:4" x14ac:dyDescent="0.2">
      <c r="A1" s="36"/>
      <c r="B1" s="36" t="s">
        <v>0</v>
      </c>
      <c r="C1" s="36" t="s">
        <v>1</v>
      </c>
      <c r="D1" s="36" t="s">
        <v>2</v>
      </c>
    </row>
    <row r="2" spans="1:4" x14ac:dyDescent="0.2">
      <c r="A2" t="s">
        <v>3</v>
      </c>
      <c r="B2" s="2">
        <v>7145768</v>
      </c>
      <c r="C2" s="2">
        <v>6676668</v>
      </c>
      <c r="D2" s="2">
        <v>5970146</v>
      </c>
    </row>
    <row r="3" spans="1:4" x14ac:dyDescent="0.2">
      <c r="A3" t="s">
        <v>4</v>
      </c>
      <c r="B3" s="2">
        <v>3452971</v>
      </c>
      <c r="C3" s="2">
        <v>3329483</v>
      </c>
      <c r="D3" s="2">
        <v>2995877</v>
      </c>
    </row>
    <row r="4" spans="1:4" x14ac:dyDescent="0.2">
      <c r="A4" t="s">
        <v>5</v>
      </c>
      <c r="B4" s="2">
        <v>642490</v>
      </c>
      <c r="C4" s="2">
        <v>561144</v>
      </c>
      <c r="D4" s="2">
        <v>462580</v>
      </c>
    </row>
    <row r="5" spans="1:4" x14ac:dyDescent="0.2">
      <c r="A5" t="s">
        <v>6</v>
      </c>
      <c r="B5" s="2">
        <v>918861</v>
      </c>
      <c r="C5" s="2">
        <v>894092</v>
      </c>
      <c r="D5" s="2">
        <v>881559</v>
      </c>
    </row>
    <row r="6" spans="1:4" x14ac:dyDescent="0.2">
      <c r="A6" t="s">
        <v>7</v>
      </c>
      <c r="B6" s="2">
        <v>34302</v>
      </c>
      <c r="C6" s="2">
        <v>12443</v>
      </c>
      <c r="D6" s="2">
        <v>18898</v>
      </c>
    </row>
    <row r="7" spans="1:4" x14ac:dyDescent="0.2">
      <c r="A7" t="s">
        <v>8</v>
      </c>
      <c r="B7" s="2">
        <v>12572</v>
      </c>
      <c r="C7" s="2">
        <v>8245</v>
      </c>
      <c r="D7" s="2">
        <v>6137</v>
      </c>
    </row>
    <row r="8" spans="1:4" x14ac:dyDescent="0.2">
      <c r="A8" t="s">
        <v>9</v>
      </c>
      <c r="B8" s="2">
        <v>2109716</v>
      </c>
      <c r="C8" s="2">
        <v>1887751</v>
      </c>
      <c r="D8" s="2">
        <v>1617369</v>
      </c>
    </row>
    <row r="9" spans="1:4" x14ac:dyDescent="0.2">
      <c r="A9" t="s">
        <v>10</v>
      </c>
      <c r="B9" s="2">
        <v>168145</v>
      </c>
      <c r="C9" s="2">
        <v>147100</v>
      </c>
      <c r="D9" s="2">
        <v>132319</v>
      </c>
    </row>
    <row r="10" spans="1:4" x14ac:dyDescent="0.2">
      <c r="A10" t="s">
        <v>11</v>
      </c>
      <c r="B10" s="2">
        <v>214226</v>
      </c>
      <c r="C10" s="2">
        <v>145895</v>
      </c>
      <c r="D10" s="2">
        <v>147334</v>
      </c>
    </row>
    <row r="11" spans="1:4" x14ac:dyDescent="0.2">
      <c r="A11" t="s">
        <v>12</v>
      </c>
      <c r="B11" s="2">
        <v>46081</v>
      </c>
      <c r="C11" s="2">
        <v>-1205</v>
      </c>
      <c r="D11" s="2">
        <v>15015</v>
      </c>
    </row>
    <row r="12" spans="1:4" x14ac:dyDescent="0.2">
      <c r="A12" t="s">
        <v>13</v>
      </c>
      <c r="B12" s="2">
        <v>2063635</v>
      </c>
      <c r="C12" s="2">
        <v>1888956</v>
      </c>
      <c r="D12" s="2">
        <v>1602354</v>
      </c>
    </row>
    <row r="13" spans="1:4" x14ac:dyDescent="0.2">
      <c r="A13" t="s">
        <v>14</v>
      </c>
      <c r="B13" s="2">
        <v>41168</v>
      </c>
      <c r="C13" s="2">
        <v>40054</v>
      </c>
      <c r="D13" s="2">
        <v>29258</v>
      </c>
    </row>
    <row r="14" spans="1:4" x14ac:dyDescent="0.2">
      <c r="A14" t="s">
        <v>15</v>
      </c>
      <c r="B14" s="2">
        <v>464119</v>
      </c>
      <c r="C14" s="2">
        <v>363043</v>
      </c>
      <c r="D14" s="2">
        <v>344897</v>
      </c>
    </row>
    <row r="15" spans="1:4" x14ac:dyDescent="0.2">
      <c r="A15" t="s">
        <v>16</v>
      </c>
      <c r="B15" s="2">
        <v>1599516</v>
      </c>
      <c r="C15" s="2">
        <v>1525913</v>
      </c>
      <c r="D15" s="2">
        <v>1257457</v>
      </c>
    </row>
    <row r="16" spans="1:4" x14ac:dyDescent="0.2">
      <c r="A16" s="35" t="s">
        <v>17</v>
      </c>
      <c r="B16" s="34">
        <v>1596919</v>
      </c>
      <c r="C16" s="34">
        <v>1521877</v>
      </c>
      <c r="D16" s="34">
        <v>1252048</v>
      </c>
    </row>
    <row r="17" spans="1:4" x14ac:dyDescent="0.2">
      <c r="A17" s="3" t="s">
        <v>18</v>
      </c>
      <c r="B17" s="2">
        <v>2597</v>
      </c>
      <c r="C17" s="2">
        <v>4036</v>
      </c>
      <c r="D17" s="2">
        <v>5409</v>
      </c>
    </row>
    <row r="18" spans="1:4" x14ac:dyDescent="0.2">
      <c r="A18" s="3" t="s">
        <v>19</v>
      </c>
      <c r="B18" s="2">
        <v>8.9700000000000006</v>
      </c>
      <c r="C18" s="2">
        <v>8.4700000000000006</v>
      </c>
      <c r="D18" s="2">
        <v>6.91</v>
      </c>
    </row>
    <row r="19" spans="1:4" x14ac:dyDescent="0.2">
      <c r="A19" s="3" t="s">
        <v>20</v>
      </c>
      <c r="B19" s="2">
        <v>8.9600000000000009</v>
      </c>
      <c r="C19" s="2">
        <v>8.4600000000000009</v>
      </c>
      <c r="D19" s="2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62" bestFit="1" customWidth="1"/>
    <col min="2" max="4" width="14.6640625" bestFit="1" customWidth="1"/>
  </cols>
  <sheetData>
    <row r="1" spans="1:4" x14ac:dyDescent="0.2">
      <c r="A1" s="36"/>
      <c r="B1" s="36" t="s">
        <v>0</v>
      </c>
      <c r="C1" s="36" t="s">
        <v>1</v>
      </c>
      <c r="D1" s="36" t="s">
        <v>2</v>
      </c>
    </row>
    <row r="2" spans="1:4" x14ac:dyDescent="0.2">
      <c r="A2" t="s">
        <v>16</v>
      </c>
      <c r="B2" s="2">
        <v>1599516</v>
      </c>
      <c r="C2" s="2">
        <v>1525913</v>
      </c>
      <c r="D2" s="2">
        <v>1257457</v>
      </c>
    </row>
    <row r="3" spans="1:4" x14ac:dyDescent="0.2">
      <c r="A3" t="s">
        <v>21</v>
      </c>
      <c r="B3" s="2">
        <v>135</v>
      </c>
      <c r="C3" s="2">
        <v>-691</v>
      </c>
      <c r="D3" s="2">
        <v>221</v>
      </c>
    </row>
    <row r="4" spans="1:4" x14ac:dyDescent="0.2">
      <c r="A4" t="s">
        <v>22</v>
      </c>
      <c r="B4" s="2">
        <v>-30</v>
      </c>
      <c r="C4" s="2">
        <v>168</v>
      </c>
      <c r="D4" s="2">
        <v>-52</v>
      </c>
    </row>
    <row r="5" spans="1:4" x14ac:dyDescent="0.2">
      <c r="A5" t="s">
        <v>23</v>
      </c>
      <c r="B5" s="2">
        <v>105</v>
      </c>
      <c r="C5" s="2">
        <v>-523</v>
      </c>
      <c r="D5" s="2">
        <v>169</v>
      </c>
    </row>
    <row r="6" spans="1:4" x14ac:dyDescent="0.2">
      <c r="A6" t="s">
        <v>24</v>
      </c>
      <c r="B6" s="2">
        <v>120314</v>
      </c>
      <c r="C6" s="2">
        <v>-86810</v>
      </c>
      <c r="D6" s="2">
        <v>-26284</v>
      </c>
    </row>
    <row r="7" spans="1:4" x14ac:dyDescent="0.2">
      <c r="A7" t="s">
        <v>25</v>
      </c>
      <c r="B7" s="2">
        <v>-20444</v>
      </c>
      <c r="C7" s="2">
        <v>12248</v>
      </c>
      <c r="D7" s="2">
        <v>-6323</v>
      </c>
    </row>
    <row r="8" spans="1:4" x14ac:dyDescent="0.2">
      <c r="A8" t="s">
        <v>22</v>
      </c>
      <c r="B8" s="2">
        <v>-33674</v>
      </c>
      <c r="C8" s="2">
        <v>23610</v>
      </c>
      <c r="D8" s="2">
        <v>6403</v>
      </c>
    </row>
    <row r="9" spans="1:4" x14ac:dyDescent="0.2">
      <c r="A9" t="s">
        <v>26</v>
      </c>
      <c r="B9" s="2">
        <v>66196</v>
      </c>
      <c r="C9" s="2">
        <v>-50952</v>
      </c>
      <c r="D9" s="2">
        <v>-26204</v>
      </c>
    </row>
    <row r="10" spans="1:4" x14ac:dyDescent="0.2">
      <c r="A10" t="s">
        <v>27</v>
      </c>
      <c r="B10" s="2">
        <v>66301</v>
      </c>
      <c r="C10" s="2">
        <v>-51475</v>
      </c>
      <c r="D10" s="2">
        <v>-26035</v>
      </c>
    </row>
    <row r="11" spans="1:4" x14ac:dyDescent="0.2">
      <c r="A11" t="s">
        <v>28</v>
      </c>
      <c r="B11" s="2">
        <v>1665817</v>
      </c>
      <c r="C11" s="2">
        <v>1474438</v>
      </c>
      <c r="D11" s="2">
        <v>1231422</v>
      </c>
    </row>
    <row r="12" spans="1:4" x14ac:dyDescent="0.2">
      <c r="A12" t="s">
        <v>29</v>
      </c>
      <c r="B12" s="2">
        <v>1663681</v>
      </c>
      <c r="C12" s="2">
        <v>1470092</v>
      </c>
      <c r="D12" s="2">
        <v>1226428</v>
      </c>
    </row>
    <row r="13" spans="1:4" x14ac:dyDescent="0.2">
      <c r="A13" t="s">
        <v>30</v>
      </c>
      <c r="B13" s="2">
        <v>2136</v>
      </c>
      <c r="C13" s="2">
        <v>4346</v>
      </c>
      <c r="D13" s="2">
        <v>4994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zoomScale="80" zoomScaleNormal="80" workbookViewId="0">
      <selection activeCell="F43" sqref="F43"/>
    </sheetView>
  </sheetViews>
  <sheetFormatPr baseColWidth="10" defaultColWidth="8.83203125" defaultRowHeight="15" x14ac:dyDescent="0.2"/>
  <cols>
    <col min="1" max="1" width="38.5" bestFit="1" customWidth="1"/>
    <col min="2" max="2" width="19.6640625" bestFit="1" customWidth="1"/>
    <col min="3" max="3" width="14.6640625" bestFit="1" customWidth="1"/>
    <col min="4" max="6" width="14.33203125" customWidth="1"/>
    <col min="7" max="8" width="16" customWidth="1"/>
    <col min="9" max="11" width="14.33203125" customWidth="1"/>
    <col min="12" max="13" width="10.1640625" bestFit="1" customWidth="1"/>
  </cols>
  <sheetData>
    <row r="1" spans="1:13" x14ac:dyDescent="0.2">
      <c r="A1" s="36"/>
      <c r="B1" s="36" t="s">
        <v>0</v>
      </c>
      <c r="C1" s="36" t="s">
        <v>1</v>
      </c>
      <c r="D1" s="36" t="s">
        <v>2</v>
      </c>
      <c r="E1" s="36" t="s">
        <v>163</v>
      </c>
      <c r="F1" s="36" t="s">
        <v>164</v>
      </c>
      <c r="G1" s="36" t="s">
        <v>165</v>
      </c>
      <c r="H1" s="36" t="s">
        <v>166</v>
      </c>
      <c r="I1" s="36" t="s">
        <v>167</v>
      </c>
      <c r="J1" s="36" t="s">
        <v>168</v>
      </c>
      <c r="K1" s="36" t="s">
        <v>170</v>
      </c>
      <c r="L1" s="102"/>
      <c r="M1" s="102"/>
    </row>
    <row r="2" spans="1:13" x14ac:dyDescent="0.2">
      <c r="A2" t="s">
        <v>31</v>
      </c>
      <c r="B2" s="2">
        <v>785182</v>
      </c>
      <c r="C2" s="2">
        <v>785182</v>
      </c>
    </row>
    <row r="3" spans="1:13" x14ac:dyDescent="0.2">
      <c r="A3" s="100" t="s">
        <v>32</v>
      </c>
      <c r="B3" s="2">
        <v>1638457</v>
      </c>
      <c r="C3" s="2">
        <v>1545664</v>
      </c>
      <c r="D3" s="2">
        <v>1419699</v>
      </c>
      <c r="E3" s="2">
        <v>1307388</v>
      </c>
      <c r="F3" s="2">
        <v>1138173</v>
      </c>
      <c r="G3" s="2">
        <v>979290</v>
      </c>
      <c r="H3" s="2">
        <v>837938</v>
      </c>
      <c r="I3" s="2">
        <v>645797</v>
      </c>
      <c r="J3" s="2">
        <v>440456</v>
      </c>
      <c r="K3" s="2">
        <v>354394</v>
      </c>
    </row>
    <row r="4" spans="1:13" x14ac:dyDescent="0.2">
      <c r="A4" s="100" t="s">
        <v>33</v>
      </c>
      <c r="B4" s="2">
        <v>2057891</v>
      </c>
      <c r="C4" s="2">
        <v>1828784</v>
      </c>
      <c r="D4" s="2">
        <v>1575200</v>
      </c>
      <c r="E4" s="2">
        <v>1457825</v>
      </c>
      <c r="F4" s="2">
        <v>1353165</v>
      </c>
      <c r="G4" s="2">
        <v>1226630</v>
      </c>
      <c r="H4" s="2">
        <v>1069652</v>
      </c>
      <c r="I4" s="2">
        <v>850550</v>
      </c>
      <c r="J4" s="2">
        <v>710260</v>
      </c>
      <c r="K4" s="2">
        <v>669283</v>
      </c>
    </row>
    <row r="5" spans="1:13" x14ac:dyDescent="0.2">
      <c r="A5" t="s">
        <v>34</v>
      </c>
      <c r="B5" s="2">
        <v>96444</v>
      </c>
      <c r="C5" s="2">
        <v>80822</v>
      </c>
    </row>
    <row r="6" spans="1:13" x14ac:dyDescent="0.2">
      <c r="A6" t="s">
        <v>35</v>
      </c>
      <c r="B6" s="2">
        <v>226005</v>
      </c>
      <c r="C6" s="2">
        <v>236791</v>
      </c>
    </row>
    <row r="7" spans="1:13" x14ac:dyDescent="0.2">
      <c r="A7" t="s">
        <v>36</v>
      </c>
      <c r="B7" s="2">
        <v>4803979</v>
      </c>
      <c r="C7" s="2">
        <v>4477243</v>
      </c>
    </row>
    <row r="8" spans="1:13" x14ac:dyDescent="0.2">
      <c r="A8" s="100" t="s">
        <v>37</v>
      </c>
      <c r="B8" s="2">
        <v>1113904</v>
      </c>
      <c r="C8" s="2">
        <v>1088194</v>
      </c>
      <c r="D8" s="2">
        <v>948514</v>
      </c>
      <c r="E8" s="2">
        <v>674662</v>
      </c>
      <c r="F8" s="2">
        <v>540575</v>
      </c>
      <c r="G8" s="2">
        <v>460617</v>
      </c>
      <c r="H8" s="2">
        <v>420051</v>
      </c>
      <c r="I8" s="2">
        <v>391064</v>
      </c>
      <c r="J8" s="2">
        <v>393765</v>
      </c>
      <c r="K8" s="2">
        <v>323998</v>
      </c>
    </row>
    <row r="9" spans="1:13" x14ac:dyDescent="0.2">
      <c r="A9" s="100" t="s">
        <v>38</v>
      </c>
      <c r="B9" s="2">
        <v>360339</v>
      </c>
      <c r="C9" s="2">
        <v>349176</v>
      </c>
      <c r="D9" s="2">
        <v>261380</v>
      </c>
      <c r="E9" s="2">
        <v>232414</v>
      </c>
      <c r="F9" s="2">
        <v>185000</v>
      </c>
      <c r="G9" s="2">
        <v>184260</v>
      </c>
      <c r="H9" s="2">
        <v>231439</v>
      </c>
      <c r="I9" s="2">
        <v>211399</v>
      </c>
      <c r="J9" s="2">
        <v>239410</v>
      </c>
      <c r="K9" s="2">
        <v>243977</v>
      </c>
    </row>
    <row r="10" spans="1:13" x14ac:dyDescent="0.2">
      <c r="A10" t="s">
        <v>39</v>
      </c>
      <c r="B10" s="2">
        <v>1613396</v>
      </c>
      <c r="C10" s="2">
        <v>1661632</v>
      </c>
    </row>
    <row r="11" spans="1:13" x14ac:dyDescent="0.2">
      <c r="A11" s="100" t="s">
        <v>40</v>
      </c>
      <c r="B11" s="2">
        <v>31715</v>
      </c>
      <c r="C11" s="2">
        <v>15918</v>
      </c>
      <c r="D11" s="2">
        <v>11616</v>
      </c>
      <c r="E11" s="2">
        <v>16054</v>
      </c>
      <c r="F11" s="2">
        <v>14306</v>
      </c>
      <c r="G11" s="2">
        <v>12438</v>
      </c>
      <c r="H11" s="2">
        <v>21078</v>
      </c>
      <c r="I11" s="2">
        <v>128234</v>
      </c>
      <c r="J11" s="2">
        <v>30037</v>
      </c>
      <c r="K11" s="2">
        <v>43636</v>
      </c>
    </row>
    <row r="12" spans="1:13" x14ac:dyDescent="0.2">
      <c r="A12" s="100" t="s">
        <v>41</v>
      </c>
      <c r="B12" s="2">
        <v>159223</v>
      </c>
      <c r="C12" s="2">
        <v>137763</v>
      </c>
      <c r="D12" s="2">
        <v>130228</v>
      </c>
      <c r="E12" s="2">
        <v>153183</v>
      </c>
      <c r="F12" s="2">
        <v>122224</v>
      </c>
      <c r="G12" s="2">
        <v>76471</v>
      </c>
      <c r="H12" s="2">
        <v>92830</v>
      </c>
      <c r="I12" s="2">
        <v>64295</v>
      </c>
      <c r="J12" s="2">
        <v>45441</v>
      </c>
      <c r="K12" s="2">
        <v>53729</v>
      </c>
    </row>
    <row r="13" spans="1:13" x14ac:dyDescent="0.2">
      <c r="A13" t="s">
        <v>42</v>
      </c>
      <c r="B13" s="2">
        <v>78085</v>
      </c>
      <c r="C13" s="2">
        <v>25006</v>
      </c>
    </row>
    <row r="14" spans="1:13" x14ac:dyDescent="0.2">
      <c r="A14" t="s">
        <v>43</v>
      </c>
      <c r="B14" s="2">
        <v>1467711</v>
      </c>
      <c r="C14" s="2">
        <v>1742214</v>
      </c>
    </row>
    <row r="15" spans="1:13" x14ac:dyDescent="0.2">
      <c r="A15" s="101" t="s">
        <v>44</v>
      </c>
      <c r="B15" s="2">
        <f>B8+B9+B12+B11+B3+B4</f>
        <v>5361529</v>
      </c>
      <c r="C15" s="2">
        <f t="shared" ref="C15:K15" si="0">C8+C9+C12+C11+C3+C4</f>
        <v>4965499</v>
      </c>
      <c r="D15" s="2">
        <f t="shared" si="0"/>
        <v>4346637</v>
      </c>
      <c r="E15" s="2">
        <f t="shared" si="0"/>
        <v>3841526</v>
      </c>
      <c r="F15" s="2">
        <f t="shared" si="0"/>
        <v>3353443</v>
      </c>
      <c r="G15" s="2">
        <f t="shared" si="0"/>
        <v>2939706</v>
      </c>
      <c r="H15" s="2">
        <f t="shared" si="0"/>
        <v>2672988</v>
      </c>
      <c r="I15" s="2">
        <f t="shared" si="0"/>
        <v>2291339</v>
      </c>
      <c r="J15" s="2">
        <f t="shared" si="0"/>
        <v>1859369</v>
      </c>
      <c r="K15" s="2">
        <f t="shared" si="0"/>
        <v>1689017</v>
      </c>
    </row>
    <row r="16" spans="1:13" x14ac:dyDescent="0.2">
      <c r="A16" s="1" t="s">
        <v>45</v>
      </c>
      <c r="B16" s="2">
        <v>4824373</v>
      </c>
      <c r="C16" s="2">
        <v>5019903</v>
      </c>
    </row>
    <row r="17" spans="1:11" x14ac:dyDescent="0.2">
      <c r="A17" s="101" t="s">
        <v>176</v>
      </c>
      <c r="B17" s="116">
        <f t="shared" ref="B17:K17" si="1">SUM(B8,B9,B11,B12)</f>
        <v>1665181</v>
      </c>
      <c r="C17" s="116">
        <f t="shared" si="1"/>
        <v>1591051</v>
      </c>
      <c r="D17" s="116">
        <f t="shared" si="1"/>
        <v>1351738</v>
      </c>
      <c r="E17" s="116">
        <f t="shared" si="1"/>
        <v>1076313</v>
      </c>
      <c r="F17" s="116">
        <f t="shared" si="1"/>
        <v>862105</v>
      </c>
      <c r="G17" s="116">
        <f t="shared" si="1"/>
        <v>733786</v>
      </c>
      <c r="H17" s="116">
        <f t="shared" si="1"/>
        <v>765398</v>
      </c>
      <c r="I17" s="116">
        <f t="shared" si="1"/>
        <v>794992</v>
      </c>
      <c r="J17" s="116">
        <f t="shared" si="1"/>
        <v>708653</v>
      </c>
      <c r="K17" s="116">
        <f t="shared" si="1"/>
        <v>665340</v>
      </c>
    </row>
    <row r="18" spans="1:11" x14ac:dyDescent="0.2">
      <c r="A18" t="s">
        <v>46</v>
      </c>
      <c r="B18" s="2">
        <v>9628352</v>
      </c>
      <c r="C18" s="2">
        <v>9497146</v>
      </c>
    </row>
    <row r="19" spans="1:11" x14ac:dyDescent="0.2">
      <c r="A19" t="s">
        <v>47</v>
      </c>
      <c r="B19" s="2">
        <v>3906893</v>
      </c>
      <c r="C19" s="2">
        <v>3533946</v>
      </c>
    </row>
    <row r="20" spans="1:11" x14ac:dyDescent="0.2">
      <c r="A20" t="s">
        <v>48</v>
      </c>
      <c r="B20" s="2">
        <v>7849</v>
      </c>
      <c r="C20" s="2">
        <v>9292</v>
      </c>
    </row>
    <row r="21" spans="1:11" x14ac:dyDescent="0.2">
      <c r="A21" t="s">
        <v>49</v>
      </c>
      <c r="B21" s="2">
        <v>3914742</v>
      </c>
      <c r="C21" s="2">
        <v>3543238</v>
      </c>
    </row>
    <row r="22" spans="1:11" x14ac:dyDescent="0.2">
      <c r="A22" t="s">
        <v>50</v>
      </c>
      <c r="B22" s="2">
        <v>145294</v>
      </c>
      <c r="C22" s="2">
        <v>134147</v>
      </c>
    </row>
    <row r="23" spans="1:11" x14ac:dyDescent="0.2">
      <c r="A23" t="s">
        <v>51</v>
      </c>
      <c r="B23" s="2">
        <v>184481</v>
      </c>
      <c r="C23" s="2">
        <v>206212</v>
      </c>
    </row>
    <row r="24" spans="1:11" x14ac:dyDescent="0.2">
      <c r="A24" t="s">
        <v>52</v>
      </c>
      <c r="B24" s="2">
        <v>254387</v>
      </c>
      <c r="C24" s="2">
        <v>110016</v>
      </c>
    </row>
    <row r="25" spans="1:11" x14ac:dyDescent="0.2">
      <c r="A25" t="s">
        <v>53</v>
      </c>
      <c r="B25" s="2">
        <v>2884220</v>
      </c>
      <c r="C25" s="2">
        <v>3351888</v>
      </c>
    </row>
    <row r="26" spans="1:11" x14ac:dyDescent="0.2">
      <c r="A26" s="100" t="s">
        <v>54</v>
      </c>
      <c r="B26" s="2">
        <v>1391616</v>
      </c>
      <c r="C26" s="2">
        <v>1106221</v>
      </c>
      <c r="D26" s="2">
        <v>1022967</v>
      </c>
      <c r="E26" s="2">
        <v>952025</v>
      </c>
      <c r="F26" s="2">
        <v>726775</v>
      </c>
      <c r="G26" s="2">
        <v>687462</v>
      </c>
      <c r="H26" s="2">
        <v>800015</v>
      </c>
      <c r="I26" s="2">
        <v>589743</v>
      </c>
      <c r="J26" s="2">
        <v>620350</v>
      </c>
      <c r="K26" s="2">
        <v>656275</v>
      </c>
    </row>
    <row r="27" spans="1:11" x14ac:dyDescent="0.2">
      <c r="A27" t="s">
        <v>55</v>
      </c>
      <c r="B27" s="2">
        <v>7405</v>
      </c>
      <c r="C27" s="2">
        <v>61894</v>
      </c>
    </row>
    <row r="28" spans="1:11" x14ac:dyDescent="0.2">
      <c r="A28" s="100" t="s">
        <v>56</v>
      </c>
      <c r="B28" s="2">
        <v>841256</v>
      </c>
      <c r="C28" s="2">
        <v>945657</v>
      </c>
      <c r="D28" s="2">
        <v>930560</v>
      </c>
      <c r="E28" s="2">
        <v>902968</v>
      </c>
      <c r="F28" s="2">
        <v>797832</v>
      </c>
      <c r="G28" s="2">
        <v>713807</v>
      </c>
      <c r="H28" s="2">
        <v>711539</v>
      </c>
      <c r="I28" s="2">
        <v>653751</v>
      </c>
      <c r="J28" s="2">
        <v>457000</v>
      </c>
      <c r="K28" s="2">
        <v>123000</v>
      </c>
    </row>
    <row r="29" spans="1:11" x14ac:dyDescent="0.2">
      <c r="A29" s="100" t="s">
        <v>57</v>
      </c>
      <c r="B29" s="2">
        <v>4951</v>
      </c>
      <c r="C29" s="2">
        <v>37873</v>
      </c>
      <c r="D29" s="2">
        <v>89271</v>
      </c>
      <c r="E29" s="2">
        <v>58563</v>
      </c>
      <c r="F29" s="2">
        <v>112910</v>
      </c>
      <c r="G29" s="2">
        <v>15895</v>
      </c>
      <c r="H29" s="2">
        <v>7106</v>
      </c>
      <c r="I29" s="2">
        <v>7635</v>
      </c>
      <c r="J29" s="2">
        <v>19078</v>
      </c>
      <c r="K29" s="2">
        <v>31859</v>
      </c>
    </row>
    <row r="30" spans="1:11" x14ac:dyDescent="0.2">
      <c r="A30" s="101" t="s">
        <v>58</v>
      </c>
      <c r="B30" s="2">
        <f t="shared" ref="B30" si="2">B28+B29+B26</f>
        <v>2237823</v>
      </c>
      <c r="C30" s="2">
        <f t="shared" ref="C30" si="3">C28+C29+C26</f>
        <v>2089751</v>
      </c>
      <c r="D30" s="2">
        <f t="shared" ref="D30" si="4">D28+D29+D26</f>
        <v>2042798</v>
      </c>
      <c r="E30" s="2">
        <f t="shared" ref="E30" si="5">E28+E29+E26</f>
        <v>1913556</v>
      </c>
      <c r="F30" s="2">
        <f t="shared" ref="F30" si="6">F28+F29+F26</f>
        <v>1637517</v>
      </c>
      <c r="G30" s="2">
        <f t="shared" ref="G30" si="7">G28+G29+G26</f>
        <v>1417164</v>
      </c>
      <c r="H30" s="2">
        <f t="shared" ref="H30" si="8">H28+H29+H26</f>
        <v>1518660</v>
      </c>
      <c r="I30" s="2">
        <f t="shared" ref="I30" si="9">I28+I29+I26</f>
        <v>1251129</v>
      </c>
      <c r="J30" s="2">
        <f t="shared" ref="J30" si="10">J28+J29+J26</f>
        <v>1096428</v>
      </c>
      <c r="K30" s="2">
        <f t="shared" ref="K30" si="11">K28+K29+K26</f>
        <v>811134</v>
      </c>
    </row>
    <row r="31" spans="1:11" x14ac:dyDescent="0.2">
      <c r="A31" s="1" t="s">
        <v>59</v>
      </c>
      <c r="B31" s="2">
        <v>9628352</v>
      </c>
      <c r="C31" s="2">
        <v>9497146</v>
      </c>
    </row>
    <row r="32" spans="1:11" x14ac:dyDescent="0.2">
      <c r="A32" t="s">
        <v>175</v>
      </c>
      <c r="B32" s="2">
        <f>B15-B30</f>
        <v>3123706</v>
      </c>
      <c r="C32" s="2">
        <f t="shared" ref="C32:K32" si="12">C15-C30</f>
        <v>2875748</v>
      </c>
      <c r="D32" s="2">
        <f t="shared" si="12"/>
        <v>2303839</v>
      </c>
      <c r="E32" s="2">
        <f t="shared" si="12"/>
        <v>1927970</v>
      </c>
      <c r="F32" s="2">
        <f t="shared" si="12"/>
        <v>1715926</v>
      </c>
      <c r="G32" s="2">
        <f t="shared" si="12"/>
        <v>1522542</v>
      </c>
      <c r="H32" s="2">
        <f t="shared" si="12"/>
        <v>1154328</v>
      </c>
      <c r="I32" s="2">
        <f t="shared" si="12"/>
        <v>1040210</v>
      </c>
      <c r="J32" s="2">
        <f t="shared" si="12"/>
        <v>762941</v>
      </c>
      <c r="K32" s="2">
        <f t="shared" si="12"/>
        <v>877883</v>
      </c>
    </row>
    <row r="33" spans="1:4" x14ac:dyDescent="0.2">
      <c r="A33" s="46" t="s">
        <v>60</v>
      </c>
      <c r="B33" s="47">
        <v>177279</v>
      </c>
      <c r="C33" s="46"/>
      <c r="D33" s="46"/>
    </row>
    <row r="34" spans="1:4" x14ac:dyDescent="0.2">
      <c r="A34" t="s">
        <v>61</v>
      </c>
      <c r="B34" s="48">
        <v>358.42</v>
      </c>
    </row>
    <row r="35" spans="1:4" x14ac:dyDescent="0.2">
      <c r="A35" t="s">
        <v>62</v>
      </c>
      <c r="B35" s="2">
        <f>B34*0.85</f>
        <v>304.65699999999998</v>
      </c>
    </row>
    <row r="36" spans="1:4" x14ac:dyDescent="0.2">
      <c r="A36" t="s">
        <v>63</v>
      </c>
      <c r="B36" s="2">
        <f>B33*B35</f>
        <v>54009288.302999996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zoomScale="118" zoomScaleNormal="80" workbookViewId="0">
      <selection activeCell="G22" sqref="G22"/>
    </sheetView>
  </sheetViews>
  <sheetFormatPr baseColWidth="10" defaultColWidth="8.83203125" defaultRowHeight="15" x14ac:dyDescent="0.2"/>
  <cols>
    <col min="1" max="1" width="42.33203125" bestFit="1" customWidth="1"/>
    <col min="2" max="2" width="15.5" bestFit="1" customWidth="1"/>
    <col min="3" max="3" width="14.6640625" bestFit="1" customWidth="1"/>
    <col min="4" max="4" width="15.5" bestFit="1" customWidth="1"/>
    <col min="5" max="11" width="16" customWidth="1"/>
    <col min="12" max="12" width="16.5" customWidth="1"/>
  </cols>
  <sheetData>
    <row r="1" spans="1:12" x14ac:dyDescent="0.2">
      <c r="A1" s="36"/>
      <c r="B1" s="36" t="s">
        <v>0</v>
      </c>
      <c r="C1" s="36" t="s">
        <v>1</v>
      </c>
      <c r="D1" s="36" t="s">
        <v>2</v>
      </c>
      <c r="E1" s="36" t="s">
        <v>163</v>
      </c>
      <c r="F1" s="36" t="s">
        <v>164</v>
      </c>
      <c r="G1" s="36" t="s">
        <v>165</v>
      </c>
      <c r="H1" s="36" t="s">
        <v>166</v>
      </c>
      <c r="I1" s="36" t="s">
        <v>167</v>
      </c>
      <c r="J1" s="36" t="s">
        <v>168</v>
      </c>
      <c r="K1" s="36" t="s">
        <v>170</v>
      </c>
      <c r="L1" s="36" t="s">
        <v>169</v>
      </c>
    </row>
    <row r="2" spans="1:12" x14ac:dyDescent="0.2">
      <c r="A2" t="s">
        <v>64</v>
      </c>
      <c r="B2" s="2">
        <v>1742214</v>
      </c>
      <c r="C2" s="2">
        <v>1121981</v>
      </c>
      <c r="D2" s="2">
        <v>1388901</v>
      </c>
    </row>
    <row r="3" spans="1:12" x14ac:dyDescent="0.2">
      <c r="A3" t="s">
        <v>16</v>
      </c>
      <c r="B3" s="2">
        <v>1599516</v>
      </c>
      <c r="C3" s="2">
        <v>1525913</v>
      </c>
      <c r="D3" s="2">
        <v>1257457</v>
      </c>
    </row>
    <row r="4" spans="1:12" x14ac:dyDescent="0.2">
      <c r="A4" t="s">
        <v>15</v>
      </c>
      <c r="B4" s="2">
        <v>464119</v>
      </c>
      <c r="C4" s="2">
        <v>363043</v>
      </c>
      <c r="D4" s="2">
        <v>344897</v>
      </c>
    </row>
    <row r="5" spans="1:12" x14ac:dyDescent="0.2">
      <c r="A5" t="s">
        <v>65</v>
      </c>
      <c r="B5" s="2">
        <v>661937</v>
      </c>
      <c r="C5" s="2">
        <v>666777</v>
      </c>
      <c r="D5" s="2">
        <v>662305</v>
      </c>
    </row>
    <row r="6" spans="1:12" x14ac:dyDescent="0.2">
      <c r="A6" t="s">
        <v>66</v>
      </c>
      <c r="B6" s="2">
        <v>54466</v>
      </c>
      <c r="C6" s="2">
        <v>81546</v>
      </c>
      <c r="D6" s="2">
        <v>64834</v>
      </c>
    </row>
    <row r="7" spans="1:12" x14ac:dyDescent="0.2">
      <c r="A7" t="s">
        <v>8</v>
      </c>
      <c r="B7" s="2">
        <v>-12572</v>
      </c>
      <c r="C7" s="2">
        <v>-8245</v>
      </c>
      <c r="D7" s="2">
        <v>-6137</v>
      </c>
    </row>
    <row r="8" spans="1:12" x14ac:dyDescent="0.2">
      <c r="A8" t="s">
        <v>10</v>
      </c>
      <c r="B8" s="2">
        <v>-168145</v>
      </c>
      <c r="C8" s="2">
        <v>-147100</v>
      </c>
      <c r="D8" s="2">
        <v>-132319</v>
      </c>
    </row>
    <row r="9" spans="1:12" x14ac:dyDescent="0.2">
      <c r="A9" t="s">
        <v>11</v>
      </c>
      <c r="B9" s="2">
        <v>214226</v>
      </c>
      <c r="C9" s="2">
        <v>145895</v>
      </c>
      <c r="D9" s="2">
        <v>147334</v>
      </c>
    </row>
    <row r="10" spans="1:12" x14ac:dyDescent="0.2">
      <c r="A10" t="s">
        <v>67</v>
      </c>
      <c r="B10" s="2">
        <v>98169</v>
      </c>
      <c r="C10" s="2">
        <v>91909</v>
      </c>
      <c r="D10" s="2">
        <v>79813</v>
      </c>
    </row>
    <row r="11" spans="1:12" x14ac:dyDescent="0.2">
      <c r="A11" s="100" t="s">
        <v>68</v>
      </c>
      <c r="B11" s="2">
        <v>-76684</v>
      </c>
      <c r="C11" s="2">
        <v>-157526</v>
      </c>
      <c r="D11" s="2">
        <v>-309564</v>
      </c>
      <c r="E11" s="2">
        <v>-153890</v>
      </c>
      <c r="F11" s="2">
        <v>-81309</v>
      </c>
      <c r="G11" s="2">
        <v>-67797</v>
      </c>
      <c r="H11" s="2">
        <v>-40627</v>
      </c>
      <c r="I11" s="2">
        <v>-4638</v>
      </c>
      <c r="J11" s="2">
        <v>-88483</v>
      </c>
      <c r="K11" s="2">
        <v>-33187</v>
      </c>
      <c r="L11" s="2">
        <v>-2885</v>
      </c>
    </row>
    <row r="12" spans="1:12" x14ac:dyDescent="0.2">
      <c r="A12" s="100" t="s">
        <v>69</v>
      </c>
      <c r="B12" s="2">
        <v>-20617</v>
      </c>
      <c r="C12" s="2">
        <v>-94029</v>
      </c>
      <c r="D12" s="2">
        <v>-33381</v>
      </c>
      <c r="E12" s="2">
        <v>-48400</v>
      </c>
      <c r="F12" s="2">
        <v>1771</v>
      </c>
      <c r="G12" s="2">
        <v>44477</v>
      </c>
      <c r="H12" s="2">
        <v>-22377</v>
      </c>
      <c r="I12" s="2">
        <v>26890</v>
      </c>
      <c r="J12" s="2">
        <v>-1745</v>
      </c>
      <c r="K12" s="2">
        <v>-88847</v>
      </c>
      <c r="L12" s="2">
        <v>15693</v>
      </c>
    </row>
    <row r="13" spans="1:12" x14ac:dyDescent="0.2">
      <c r="A13" s="100" t="s">
        <v>70</v>
      </c>
      <c r="B13" s="2">
        <v>-59130</v>
      </c>
      <c r="C13" s="2">
        <v>7672</v>
      </c>
      <c r="D13" s="2">
        <v>43277</v>
      </c>
      <c r="E13" s="2">
        <v>103981</v>
      </c>
      <c r="F13" s="2">
        <v>72568</v>
      </c>
      <c r="G13" s="2">
        <v>8594</v>
      </c>
      <c r="H13" s="2">
        <v>53940</v>
      </c>
      <c r="I13" s="2">
        <v>40317</v>
      </c>
      <c r="J13" s="2">
        <v>29333</v>
      </c>
      <c r="K13" s="2">
        <v>106163</v>
      </c>
      <c r="L13" s="2">
        <v>-45792</v>
      </c>
    </row>
    <row r="14" spans="1:12" x14ac:dyDescent="0.2">
      <c r="A14" t="s">
        <v>71</v>
      </c>
      <c r="B14" s="2">
        <v>-154580</v>
      </c>
      <c r="C14" s="2">
        <v>-118687</v>
      </c>
      <c r="D14" s="2">
        <v>-107247</v>
      </c>
    </row>
    <row r="15" spans="1:12" x14ac:dyDescent="0.2">
      <c r="A15" s="100" t="s">
        <v>72</v>
      </c>
      <c r="B15" s="2">
        <v>222377</v>
      </c>
      <c r="C15" s="2">
        <v>-20045</v>
      </c>
      <c r="D15" s="2">
        <v>48642</v>
      </c>
      <c r="E15" s="2">
        <v>140008</v>
      </c>
      <c r="F15" s="2">
        <v>-29840</v>
      </c>
      <c r="G15" s="2">
        <v>-137313</v>
      </c>
      <c r="H15" s="2">
        <v>145547</v>
      </c>
      <c r="I15" s="2">
        <v>-83013</v>
      </c>
      <c r="J15" s="2">
        <v>-72803</v>
      </c>
      <c r="K15" s="2">
        <v>7149</v>
      </c>
      <c r="L15" s="2">
        <v>-24698</v>
      </c>
    </row>
    <row r="16" spans="1:12" x14ac:dyDescent="0.2">
      <c r="A16" t="s">
        <v>73</v>
      </c>
      <c r="B16" s="2">
        <v>38035</v>
      </c>
      <c r="C16" s="2">
        <v>49673</v>
      </c>
      <c r="D16" s="2">
        <v>32432</v>
      </c>
    </row>
    <row r="17" spans="1:4" x14ac:dyDescent="0.2">
      <c r="A17" t="s">
        <v>74</v>
      </c>
      <c r="B17" s="2">
        <v>-126257</v>
      </c>
      <c r="C17" s="2">
        <v>-50354</v>
      </c>
      <c r="D17" s="2">
        <v>-83243</v>
      </c>
    </row>
    <row r="18" spans="1:4" x14ac:dyDescent="0.2">
      <c r="A18" t="s">
        <v>75</v>
      </c>
      <c r="B18" s="2">
        <v>-385554</v>
      </c>
      <c r="C18" s="2">
        <v>-409786</v>
      </c>
      <c r="D18" s="2">
        <v>-292463</v>
      </c>
    </row>
    <row r="19" spans="1:4" x14ac:dyDescent="0.2">
      <c r="A19" t="s">
        <v>76</v>
      </c>
      <c r="B19" s="2">
        <v>2349306</v>
      </c>
      <c r="C19" s="2">
        <v>1926656</v>
      </c>
      <c r="D19" s="2">
        <v>1716637</v>
      </c>
    </row>
    <row r="20" spans="1:4" x14ac:dyDescent="0.2">
      <c r="A20" t="s">
        <v>77</v>
      </c>
      <c r="B20" s="2">
        <v>-457976</v>
      </c>
      <c r="C20" s="2">
        <v>-506874</v>
      </c>
      <c r="D20" s="2">
        <v>-487148</v>
      </c>
    </row>
    <row r="21" spans="1:4" x14ac:dyDescent="0.2">
      <c r="A21" t="s">
        <v>78</v>
      </c>
      <c r="B21" s="2">
        <v>-485210</v>
      </c>
      <c r="C21" s="2">
        <v>-482277</v>
      </c>
      <c r="D21" s="2">
        <v>-381762</v>
      </c>
    </row>
    <row r="22" spans="1:4" x14ac:dyDescent="0.2">
      <c r="A22" t="s">
        <v>79</v>
      </c>
      <c r="B22" s="2">
        <v>-1352</v>
      </c>
      <c r="C22" s="2">
        <v>0</v>
      </c>
      <c r="D22" s="2">
        <v>0</v>
      </c>
    </row>
    <row r="23" spans="1:4" x14ac:dyDescent="0.2">
      <c r="A23" t="s">
        <v>80</v>
      </c>
      <c r="B23" s="2">
        <v>400</v>
      </c>
      <c r="C23" s="2">
        <v>2041</v>
      </c>
      <c r="D23" s="2">
        <v>2458</v>
      </c>
    </row>
    <row r="24" spans="1:4" x14ac:dyDescent="0.2">
      <c r="A24" t="s">
        <v>81</v>
      </c>
      <c r="B24" s="2">
        <v>-944138</v>
      </c>
      <c r="C24" s="2">
        <v>-987110</v>
      </c>
      <c r="D24" s="2">
        <v>-866452</v>
      </c>
    </row>
    <row r="25" spans="1:4" x14ac:dyDescent="0.2">
      <c r="A25" t="s">
        <v>82</v>
      </c>
      <c r="B25" s="2">
        <v>-450963</v>
      </c>
      <c r="C25" s="2">
        <v>0</v>
      </c>
      <c r="D25" s="2">
        <v>-575702</v>
      </c>
    </row>
    <row r="26" spans="1:4" x14ac:dyDescent="0.2">
      <c r="A26" t="s">
        <v>83</v>
      </c>
      <c r="B26" s="2">
        <v>0</v>
      </c>
      <c r="C26" s="2">
        <v>496145</v>
      </c>
      <c r="D26" s="2">
        <v>0</v>
      </c>
    </row>
    <row r="27" spans="1:4" x14ac:dyDescent="0.2">
      <c r="A27" t="s">
        <v>84</v>
      </c>
      <c r="B27" s="2">
        <v>-33294</v>
      </c>
      <c r="C27" s="2">
        <v>-243649</v>
      </c>
      <c r="D27" s="2">
        <v>-49611</v>
      </c>
    </row>
    <row r="28" spans="1:4" x14ac:dyDescent="0.2">
      <c r="A28" t="s">
        <v>85</v>
      </c>
      <c r="B28" s="2">
        <v>142375</v>
      </c>
      <c r="C28" s="2">
        <v>340499</v>
      </c>
      <c r="D28" s="2">
        <v>151217</v>
      </c>
    </row>
    <row r="29" spans="1:4" x14ac:dyDescent="0.2">
      <c r="A29" t="s">
        <v>86</v>
      </c>
      <c r="B29" s="2">
        <v>-378332</v>
      </c>
      <c r="C29" s="2">
        <v>-104690</v>
      </c>
      <c r="D29" s="2">
        <v>-72500</v>
      </c>
    </row>
    <row r="30" spans="1:4" x14ac:dyDescent="0.2">
      <c r="A30" t="s">
        <v>87</v>
      </c>
      <c r="B30" s="2">
        <v>400000</v>
      </c>
      <c r="C30" s="2">
        <v>225000</v>
      </c>
      <c r="D30" s="2">
        <v>250000</v>
      </c>
    </row>
    <row r="31" spans="1:4" x14ac:dyDescent="0.2">
      <c r="A31" t="s">
        <v>88</v>
      </c>
      <c r="B31" s="2">
        <v>-46161</v>
      </c>
      <c r="C31" s="2">
        <v>-41297</v>
      </c>
      <c r="D31" s="2">
        <v>-35566</v>
      </c>
    </row>
    <row r="32" spans="1:4" x14ac:dyDescent="0.2">
      <c r="A32" t="s">
        <v>89</v>
      </c>
      <c r="B32" s="2">
        <v>42527</v>
      </c>
      <c r="C32" s="2">
        <v>51022</v>
      </c>
      <c r="D32" s="2">
        <v>34596</v>
      </c>
    </row>
    <row r="33" spans="1:4" x14ac:dyDescent="0.2">
      <c r="A33" t="s">
        <v>90</v>
      </c>
      <c r="B33" s="2">
        <v>-23825</v>
      </c>
      <c r="C33" s="2">
        <v>-22001</v>
      </c>
      <c r="D33" s="2">
        <v>-17691</v>
      </c>
    </row>
    <row r="34" spans="1:4" x14ac:dyDescent="0.2">
      <c r="A34" t="s">
        <v>91</v>
      </c>
      <c r="B34" s="2">
        <v>-529707</v>
      </c>
      <c r="C34" s="2">
        <v>-439918</v>
      </c>
      <c r="D34" s="2">
        <v>-328631</v>
      </c>
    </row>
    <row r="35" spans="1:4" x14ac:dyDescent="0.2">
      <c r="A35" t="s">
        <v>92</v>
      </c>
      <c r="B35" s="2">
        <v>-4448</v>
      </c>
      <c r="C35" s="2">
        <v>-4788</v>
      </c>
      <c r="D35" s="2">
        <v>-4890</v>
      </c>
    </row>
    <row r="36" spans="1:4" x14ac:dyDescent="0.2">
      <c r="A36" t="s">
        <v>93</v>
      </c>
      <c r="B36" s="2">
        <v>-785329</v>
      </c>
      <c r="C36" s="2">
        <v>-581084</v>
      </c>
      <c r="D36" s="2">
        <v>-460629</v>
      </c>
    </row>
    <row r="37" spans="1:4" x14ac:dyDescent="0.2">
      <c r="A37" t="s">
        <v>94</v>
      </c>
      <c r="B37" s="2">
        <v>-1667157</v>
      </c>
      <c r="C37" s="2">
        <v>-324761</v>
      </c>
      <c r="D37" s="2">
        <v>-1109407</v>
      </c>
    </row>
    <row r="38" spans="1:4" x14ac:dyDescent="0.2">
      <c r="A38" t="s">
        <v>95</v>
      </c>
      <c r="B38" s="2">
        <v>-12514</v>
      </c>
      <c r="C38" s="2">
        <v>5448</v>
      </c>
      <c r="D38" s="2">
        <v>-7698</v>
      </c>
    </row>
    <row r="39" spans="1:4" x14ac:dyDescent="0.2">
      <c r="A39" t="s">
        <v>96</v>
      </c>
      <c r="B39" s="2">
        <v>-274503</v>
      </c>
      <c r="C39" s="2">
        <v>620233</v>
      </c>
      <c r="D39" s="2">
        <v>-266920</v>
      </c>
    </row>
    <row r="40" spans="1:4" x14ac:dyDescent="0.2">
      <c r="A40" t="s">
        <v>97</v>
      </c>
      <c r="B40" s="2">
        <v>1467711</v>
      </c>
      <c r="C40" s="2">
        <v>1742214</v>
      </c>
      <c r="D40" s="2">
        <v>1121981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38.5" bestFit="1" customWidth="1"/>
    <col min="2" max="2" width="17" bestFit="1" customWidth="1"/>
    <col min="3" max="4" width="14.6640625" bestFit="1" customWidth="1"/>
  </cols>
  <sheetData>
    <row r="1" spans="1:4" x14ac:dyDescent="0.2">
      <c r="A1" s="36"/>
      <c r="B1" s="36" t="s">
        <v>0</v>
      </c>
      <c r="C1" s="36" t="s">
        <v>1</v>
      </c>
      <c r="D1" s="36" t="s">
        <v>2</v>
      </c>
    </row>
    <row r="2" spans="1:4" x14ac:dyDescent="0.2">
      <c r="A2" t="s">
        <v>98</v>
      </c>
      <c r="B2" s="2">
        <v>2573</v>
      </c>
      <c r="C2" s="2">
        <v>2573</v>
      </c>
      <c r="D2" s="2">
        <v>2573</v>
      </c>
    </row>
    <row r="3" spans="1:4" x14ac:dyDescent="0.2">
      <c r="A3" t="s">
        <v>99</v>
      </c>
      <c r="B3" s="2">
        <v>3824443</v>
      </c>
      <c r="C3" s="2">
        <v>3518258</v>
      </c>
      <c r="D3" s="2">
        <v>2993422</v>
      </c>
    </row>
    <row r="4" spans="1:4" x14ac:dyDescent="0.2">
      <c r="A4" t="s">
        <v>100</v>
      </c>
      <c r="B4" s="2">
        <v>49792</v>
      </c>
      <c r="C4" s="2">
        <v>-36848</v>
      </c>
      <c r="D4" s="2">
        <v>26352</v>
      </c>
    </row>
    <row r="5" spans="1:4" x14ac:dyDescent="0.2">
      <c r="A5" t="s">
        <v>101</v>
      </c>
      <c r="B5" s="2">
        <v>38665</v>
      </c>
      <c r="C5" s="2">
        <v>58648</v>
      </c>
      <c r="D5" s="2">
        <v>46710</v>
      </c>
    </row>
    <row r="6" spans="1:4" x14ac:dyDescent="0.2">
      <c r="A6" t="s">
        <v>102</v>
      </c>
      <c r="B6" s="2">
        <v>-8580</v>
      </c>
      <c r="C6" s="2">
        <v>-8685</v>
      </c>
      <c r="D6" s="2">
        <v>-8169</v>
      </c>
    </row>
    <row r="7" spans="1:4" x14ac:dyDescent="0.2">
      <c r="A7" t="s">
        <v>47</v>
      </c>
      <c r="B7" s="2">
        <v>3906893</v>
      </c>
      <c r="C7" s="2">
        <v>3533946</v>
      </c>
      <c r="D7" s="2">
        <v>3060888</v>
      </c>
    </row>
    <row r="8" spans="1:4" x14ac:dyDescent="0.2">
      <c r="A8" t="s">
        <v>48</v>
      </c>
      <c r="B8" s="2">
        <v>7849</v>
      </c>
      <c r="C8" s="2">
        <v>9292</v>
      </c>
      <c r="D8" s="2">
        <v>9734</v>
      </c>
    </row>
    <row r="9" spans="1:4" x14ac:dyDescent="0.2">
      <c r="A9" t="s">
        <v>49</v>
      </c>
      <c r="B9" s="2">
        <v>3914742</v>
      </c>
      <c r="C9" s="2">
        <v>3543238</v>
      </c>
      <c r="D9" s="2">
        <v>3070622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0926-ED08-4B6A-B6A8-8E0F71CA687B}">
  <dimension ref="A1:AB33"/>
  <sheetViews>
    <sheetView topLeftCell="A6" zoomScaleNormal="80" workbookViewId="0">
      <selection activeCell="X28" sqref="X28"/>
    </sheetView>
  </sheetViews>
  <sheetFormatPr baseColWidth="10" defaultColWidth="8.83203125" defaultRowHeight="15" x14ac:dyDescent="0.2"/>
  <cols>
    <col min="1" max="1" width="44" bestFit="1" customWidth="1"/>
    <col min="2" max="4" width="15.5" bestFit="1" customWidth="1"/>
    <col min="5" max="5" width="1.33203125" bestFit="1" customWidth="1"/>
    <col min="6" max="8" width="15.6640625" bestFit="1" customWidth="1"/>
    <col min="9" max="13" width="15.83203125" bestFit="1" customWidth="1"/>
    <col min="14" max="15" width="16.6640625" bestFit="1" customWidth="1"/>
    <col min="16" max="16" width="14.1640625" customWidth="1"/>
    <col min="17" max="17" width="21.1640625" bestFit="1" customWidth="1"/>
    <col min="18" max="18" width="19.6640625" bestFit="1" customWidth="1"/>
    <col min="21" max="21" width="7.6640625" bestFit="1" customWidth="1"/>
    <col min="22" max="22" width="15.1640625" bestFit="1" customWidth="1"/>
    <col min="25" max="25" width="23.5" bestFit="1" customWidth="1"/>
    <col min="26" max="28" width="12.6640625" bestFit="1" customWidth="1"/>
  </cols>
  <sheetData>
    <row r="1" spans="1:28" x14ac:dyDescent="0.2">
      <c r="A1" s="4" t="s">
        <v>114</v>
      </c>
      <c r="B1" s="4" t="s">
        <v>115</v>
      </c>
      <c r="C1" s="4" t="s">
        <v>115</v>
      </c>
      <c r="D1" s="4" t="s">
        <v>115</v>
      </c>
      <c r="E1" s="5"/>
      <c r="F1" s="6" t="s">
        <v>116</v>
      </c>
      <c r="G1" s="6" t="s">
        <v>115</v>
      </c>
      <c r="H1" s="6" t="s">
        <v>115</v>
      </c>
      <c r="I1" s="6" t="s">
        <v>115</v>
      </c>
      <c r="J1" s="6" t="s">
        <v>115</v>
      </c>
      <c r="K1" s="6" t="s">
        <v>115</v>
      </c>
      <c r="L1" s="6" t="s">
        <v>115</v>
      </c>
      <c r="M1" s="6" t="s">
        <v>115</v>
      </c>
      <c r="N1" s="6" t="s">
        <v>115</v>
      </c>
      <c r="O1" s="6" t="s">
        <v>115</v>
      </c>
      <c r="P1" s="5"/>
      <c r="Q1" s="32" t="s">
        <v>117</v>
      </c>
      <c r="R1" s="33" t="s">
        <v>115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s="7"/>
      <c r="B2" s="7">
        <v>2023</v>
      </c>
      <c r="C2" s="7">
        <v>2024</v>
      </c>
      <c r="D2" s="7">
        <v>2025</v>
      </c>
      <c r="E2" s="7"/>
      <c r="F2" s="7">
        <v>2026</v>
      </c>
      <c r="G2" s="7">
        <v>2027</v>
      </c>
      <c r="H2" s="7">
        <v>2028</v>
      </c>
      <c r="I2" s="7">
        <v>2029</v>
      </c>
      <c r="J2" s="7">
        <v>2030</v>
      </c>
      <c r="K2" s="7">
        <v>2031</v>
      </c>
      <c r="L2" s="7">
        <v>2032</v>
      </c>
      <c r="M2" s="7">
        <v>2033</v>
      </c>
      <c r="N2" s="7">
        <v>2034</v>
      </c>
      <c r="O2" s="7">
        <v>2035</v>
      </c>
      <c r="P2" s="7"/>
      <c r="Q2" s="8" t="s">
        <v>118</v>
      </c>
      <c r="R2" s="45">
        <f>'Balance Sheet'!B36</f>
        <v>54009288.302999996</v>
      </c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">
      <c r="A3" s="10" t="s">
        <v>103</v>
      </c>
      <c r="B3" s="37">
        <f>'Income Statement'!D2</f>
        <v>5970146</v>
      </c>
      <c r="C3" s="37">
        <f>'Income Statement'!C2</f>
        <v>6676668</v>
      </c>
      <c r="D3" s="37">
        <f>'Income Statement'!B2</f>
        <v>7145768</v>
      </c>
      <c r="E3" s="7"/>
      <c r="F3" s="37">
        <f>D3*(1+F4)</f>
        <v>7819621.4113431964</v>
      </c>
      <c r="G3" s="37">
        <f>F3*(1+G4)</f>
        <v>8501152.1442681644</v>
      </c>
      <c r="H3" s="37">
        <f t="shared" ref="H3:O3" si="0">G3*(1+H4)</f>
        <v>9181345.7026042473</v>
      </c>
      <c r="I3" s="37">
        <f t="shared" si="0"/>
        <v>9850366.1743202973</v>
      </c>
      <c r="J3" s="37">
        <f t="shared" si="0"/>
        <v>10497759.864237893</v>
      </c>
      <c r="K3" s="37">
        <f t="shared" si="0"/>
        <v>11112700.198469395</v>
      </c>
      <c r="L3" s="37">
        <f t="shared" si="0"/>
        <v>11684267.294139719</v>
      </c>
      <c r="M3" s="37">
        <f t="shared" si="0"/>
        <v>12201753.231278779</v>
      </c>
      <c r="N3" s="37">
        <f t="shared" si="0"/>
        <v>12654981.997163046</v>
      </c>
      <c r="O3" s="37">
        <f t="shared" si="0"/>
        <v>13034631.457077937</v>
      </c>
      <c r="P3" s="7"/>
      <c r="Q3" s="8" t="s">
        <v>119</v>
      </c>
      <c r="R3" s="45">
        <f>'Balance Sheet'!B25</f>
        <v>2884220</v>
      </c>
      <c r="S3" s="7"/>
      <c r="T3" s="7"/>
      <c r="W3" s="10"/>
      <c r="X3" s="10"/>
      <c r="Y3" s="11"/>
      <c r="Z3" s="11"/>
      <c r="AA3" s="11"/>
      <c r="AB3" s="11"/>
    </row>
    <row r="4" spans="1:28" x14ac:dyDescent="0.2">
      <c r="A4" s="11" t="s">
        <v>104</v>
      </c>
      <c r="B4" s="12"/>
      <c r="C4" s="12">
        <f>(C3-B3)/B3</f>
        <v>0.11834249949666223</v>
      </c>
      <c r="D4" s="12">
        <f>(D3-C3)/C3</f>
        <v>7.0259596553250814E-2</v>
      </c>
      <c r="E4" s="17"/>
      <c r="F4" s="12">
        <f>$D$6</f>
        <v>9.4301048024956521E-2</v>
      </c>
      <c r="G4" s="12">
        <f t="shared" ref="G4:N4" si="1">F4-($F$4-$O$4)/9</f>
        <v>8.7156487133294686E-2</v>
      </c>
      <c r="H4" s="12">
        <f t="shared" si="1"/>
        <v>8.001192624163285E-2</v>
      </c>
      <c r="I4" s="12">
        <f t="shared" si="1"/>
        <v>7.2867365349971014E-2</v>
      </c>
      <c r="J4" s="12">
        <f t="shared" si="1"/>
        <v>6.5722804458309178E-2</v>
      </c>
      <c r="K4" s="12">
        <f t="shared" si="1"/>
        <v>5.8578243566647342E-2</v>
      </c>
      <c r="L4" s="12">
        <f t="shared" si="1"/>
        <v>5.1433682674985506E-2</v>
      </c>
      <c r="M4" s="12">
        <f t="shared" si="1"/>
        <v>4.4289121783323671E-2</v>
      </c>
      <c r="N4" s="12">
        <f t="shared" si="1"/>
        <v>3.7144560891661835E-2</v>
      </c>
      <c r="O4" s="12">
        <v>0.03</v>
      </c>
      <c r="P4" s="13"/>
      <c r="Q4" s="8" t="s">
        <v>121</v>
      </c>
      <c r="R4" s="49">
        <f>R2/(R2+R3)</f>
        <v>0.94930493678401062</v>
      </c>
      <c r="S4" s="13"/>
      <c r="T4" s="13"/>
      <c r="W4" s="11"/>
      <c r="X4" s="11"/>
      <c r="Y4" s="11"/>
      <c r="Z4" s="11"/>
      <c r="AA4" s="11"/>
      <c r="AB4" s="11"/>
    </row>
    <row r="5" spans="1:28" x14ac:dyDescent="0.2">
      <c r="A5" s="10" t="s">
        <v>122</v>
      </c>
      <c r="B5" s="37">
        <f>'Income Statement'!D12</f>
        <v>1602354</v>
      </c>
      <c r="C5" s="37">
        <f>'Income Statement'!C12</f>
        <v>1888956</v>
      </c>
      <c r="D5" s="37">
        <f>'Income Statement'!B12</f>
        <v>2063635</v>
      </c>
      <c r="E5" s="13"/>
      <c r="F5" s="15"/>
      <c r="G5" s="15"/>
      <c r="H5" s="15"/>
      <c r="I5" s="15"/>
      <c r="J5" s="15"/>
      <c r="K5" s="15"/>
      <c r="L5" s="15"/>
      <c r="M5" s="15"/>
      <c r="N5" s="15"/>
      <c r="O5" s="15"/>
      <c r="P5" s="13"/>
      <c r="Q5" s="8" t="s">
        <v>123</v>
      </c>
      <c r="R5" s="49">
        <f>R3/(R3+R2)</f>
        <v>5.0695063215989357E-2</v>
      </c>
      <c r="S5" s="13"/>
      <c r="T5" s="13"/>
      <c r="U5" s="10"/>
      <c r="V5" s="10"/>
      <c r="W5" s="11"/>
      <c r="X5" s="11"/>
      <c r="Y5" s="56"/>
      <c r="Z5" s="57"/>
      <c r="AA5" s="57"/>
      <c r="AB5" s="57"/>
    </row>
    <row r="6" spans="1:28" x14ac:dyDescent="0.2">
      <c r="A6" s="11" t="s">
        <v>124</v>
      </c>
      <c r="B6" s="39"/>
      <c r="C6" s="39"/>
      <c r="D6" s="17">
        <f>AVERAGE(C4:D4)</f>
        <v>9.4301048024956521E-2</v>
      </c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13"/>
      <c r="Q6" s="8" t="s">
        <v>106</v>
      </c>
      <c r="R6" s="9">
        <v>0.52</v>
      </c>
      <c r="S6" s="13"/>
      <c r="T6" s="13"/>
      <c r="U6" s="10"/>
      <c r="V6" s="10"/>
      <c r="W6" s="10"/>
      <c r="X6" s="10"/>
      <c r="Y6" s="57"/>
      <c r="Z6" s="58"/>
      <c r="AA6" s="58"/>
      <c r="AB6" s="58"/>
    </row>
    <row r="7" spans="1:28" x14ac:dyDescent="0.2">
      <c r="A7" s="10" t="s">
        <v>105</v>
      </c>
      <c r="B7" s="37">
        <f>'Income Statement'!D8</f>
        <v>1617369</v>
      </c>
      <c r="C7" s="37">
        <f>'Income Statement'!C8</f>
        <v>1887751</v>
      </c>
      <c r="D7" s="37">
        <f>'Income Statement'!B8</f>
        <v>2109716</v>
      </c>
      <c r="E7" s="10"/>
      <c r="F7" s="37">
        <f>F8*F3</f>
        <v>2212660.574201073</v>
      </c>
      <c r="G7" s="37">
        <f t="shared" ref="G7:O7" si="2">G8*G3</f>
        <v>2405508.297066777</v>
      </c>
      <c r="H7" s="37">
        <f t="shared" si="2"/>
        <v>2597977.64950532</v>
      </c>
      <c r="I7" s="37">
        <f t="shared" si="2"/>
        <v>2787285.4360628831</v>
      </c>
      <c r="J7" s="37">
        <f t="shared" si="2"/>
        <v>2970473.6517467368</v>
      </c>
      <c r="K7" s="37">
        <f t="shared" si="2"/>
        <v>3144478.7808270655</v>
      </c>
      <c r="L7" s="37">
        <f t="shared" si="2"/>
        <v>3306210.9046183503</v>
      </c>
      <c r="M7" s="37">
        <f t="shared" si="2"/>
        <v>3452640.0820143451</v>
      </c>
      <c r="N7" s="37">
        <f t="shared" si="2"/>
        <v>3580886.8817777196</v>
      </c>
      <c r="O7" s="37">
        <f t="shared" si="2"/>
        <v>3688313.4882310512</v>
      </c>
      <c r="P7" s="10"/>
      <c r="Q7" s="8" t="s">
        <v>108</v>
      </c>
      <c r="R7" s="14">
        <v>5.5E-2</v>
      </c>
      <c r="S7" s="10"/>
      <c r="T7" s="10"/>
      <c r="U7" s="56"/>
      <c r="V7" s="56"/>
      <c r="W7" s="10"/>
      <c r="X7" s="10"/>
      <c r="Y7" s="57"/>
      <c r="Z7" s="58"/>
      <c r="AA7" s="58"/>
      <c r="AB7" s="58"/>
    </row>
    <row r="8" spans="1:28" x14ac:dyDescent="0.2">
      <c r="A8" s="11" t="s">
        <v>107</v>
      </c>
      <c r="B8" s="12">
        <f>B7/B3</f>
        <v>0.27090945514565307</v>
      </c>
      <c r="C8" s="12">
        <f t="shared" ref="C8:D8" si="3">C7/C3</f>
        <v>0.28273848572371729</v>
      </c>
      <c r="D8" s="12">
        <f t="shared" si="3"/>
        <v>0.29523992382624231</v>
      </c>
      <c r="E8" s="11"/>
      <c r="F8" s="12">
        <f>$D$9</f>
        <v>0.28296262156520424</v>
      </c>
      <c r="G8" s="12">
        <f t="shared" ref="G8:O8" si="4">$D$9</f>
        <v>0.28296262156520424</v>
      </c>
      <c r="H8" s="12">
        <f t="shared" si="4"/>
        <v>0.28296262156520424</v>
      </c>
      <c r="I8" s="12">
        <f t="shared" si="4"/>
        <v>0.28296262156520424</v>
      </c>
      <c r="J8" s="12">
        <f t="shared" si="4"/>
        <v>0.28296262156520424</v>
      </c>
      <c r="K8" s="12">
        <f t="shared" si="4"/>
        <v>0.28296262156520424</v>
      </c>
      <c r="L8" s="12">
        <f t="shared" si="4"/>
        <v>0.28296262156520424</v>
      </c>
      <c r="M8" s="12">
        <f t="shared" si="4"/>
        <v>0.28296262156520424</v>
      </c>
      <c r="N8" s="12">
        <f t="shared" si="4"/>
        <v>0.28296262156520424</v>
      </c>
      <c r="O8" s="12">
        <f t="shared" si="4"/>
        <v>0.28296262156520424</v>
      </c>
      <c r="P8" s="11"/>
      <c r="Q8" s="8" t="s">
        <v>125</v>
      </c>
      <c r="R8" s="14">
        <v>2.7900000000000001E-2</v>
      </c>
      <c r="S8" s="11"/>
      <c r="T8" s="11"/>
      <c r="U8" s="56"/>
      <c r="V8" s="58"/>
      <c r="W8" s="10"/>
      <c r="X8" s="10"/>
      <c r="Y8" s="57"/>
      <c r="Z8" s="58"/>
      <c r="AA8" s="58"/>
      <c r="AB8" s="58"/>
    </row>
    <row r="9" spans="1:28" x14ac:dyDescent="0.2">
      <c r="A9" s="11" t="s">
        <v>126</v>
      </c>
      <c r="B9" s="39"/>
      <c r="C9" s="39"/>
      <c r="D9" s="17">
        <f>AVERAGE(B8:D8)</f>
        <v>0.28296262156520424</v>
      </c>
      <c r="E9" s="11"/>
      <c r="F9" s="16"/>
      <c r="G9" s="16"/>
      <c r="H9" s="16"/>
      <c r="I9" s="16"/>
      <c r="J9" s="16"/>
      <c r="K9" s="16"/>
      <c r="L9" s="16"/>
      <c r="M9" s="16"/>
      <c r="N9" s="16"/>
      <c r="O9" s="16"/>
      <c r="P9" s="11"/>
      <c r="Q9" s="18" t="s">
        <v>127</v>
      </c>
      <c r="R9" s="19">
        <f>R8+R6*R7</f>
        <v>5.6500000000000002E-2</v>
      </c>
      <c r="S9" s="11"/>
      <c r="T9" s="11"/>
      <c r="U9" s="56"/>
      <c r="V9" s="58"/>
      <c r="W9" s="10"/>
      <c r="X9" s="10"/>
      <c r="Y9" s="57"/>
      <c r="Z9" s="58"/>
      <c r="AA9" s="58"/>
      <c r="AB9" s="58"/>
    </row>
    <row r="10" spans="1:28" x14ac:dyDescent="0.2">
      <c r="A10" s="10" t="s">
        <v>128</v>
      </c>
      <c r="B10" s="37">
        <f>'Income Statement'!D14</f>
        <v>344897</v>
      </c>
      <c r="C10" s="37">
        <f>'Income Statement'!C14</f>
        <v>363043</v>
      </c>
      <c r="D10" s="37">
        <f>'Income Statement'!B14</f>
        <v>464119</v>
      </c>
      <c r="E10" s="11"/>
      <c r="F10" s="37">
        <f>F11*F7</f>
        <v>466384.58325066551</v>
      </c>
      <c r="G10" s="37">
        <f t="shared" ref="G10:O10" si="5">G11*G7</f>
        <v>507033.02517991909</v>
      </c>
      <c r="H10" s="37">
        <f t="shared" si="5"/>
        <v>547601.71419268684</v>
      </c>
      <c r="I10" s="37">
        <f t="shared" si="5"/>
        <v>587504.00836703577</v>
      </c>
      <c r="J10" s="37">
        <f t="shared" si="5"/>
        <v>626116.41942741524</v>
      </c>
      <c r="K10" s="37">
        <f t="shared" si="5"/>
        <v>662793.21954571141</v>
      </c>
      <c r="L10" s="37">
        <f t="shared" si="5"/>
        <v>696883.11567895766</v>
      </c>
      <c r="M10" s="37">
        <f t="shared" si="5"/>
        <v>727747.45685800503</v>
      </c>
      <c r="N10" s="37">
        <f t="shared" si="5"/>
        <v>754779.31658301933</v>
      </c>
      <c r="O10" s="37">
        <f t="shared" si="5"/>
        <v>777422.69608050992</v>
      </c>
      <c r="P10" s="11"/>
      <c r="Q10" s="8" t="s">
        <v>129</v>
      </c>
      <c r="R10" s="45">
        <f>'Income Statement'!B13</f>
        <v>41168</v>
      </c>
      <c r="S10" s="11"/>
      <c r="T10" s="11"/>
      <c r="U10" s="56"/>
      <c r="V10" s="56"/>
      <c r="W10" s="10"/>
      <c r="X10" s="10"/>
      <c r="Y10" s="57"/>
      <c r="Z10" s="58"/>
      <c r="AA10" s="58"/>
      <c r="AB10" s="58"/>
    </row>
    <row r="11" spans="1:28" x14ac:dyDescent="0.2">
      <c r="A11" s="10" t="s">
        <v>111</v>
      </c>
      <c r="B11" s="20">
        <f>B10/B5</f>
        <v>0.21524394734247237</v>
      </c>
      <c r="C11" s="20">
        <f t="shared" ref="C11:D11" si="6">C10/C5</f>
        <v>0.19219240681095801</v>
      </c>
      <c r="D11" s="20">
        <f t="shared" si="6"/>
        <v>0.22490362879094414</v>
      </c>
      <c r="E11" s="10"/>
      <c r="F11" s="20">
        <f>$D$12</f>
        <v>0.21077999431479152</v>
      </c>
      <c r="G11" s="20">
        <f t="shared" ref="G11:O11" si="7">$D$12</f>
        <v>0.21077999431479152</v>
      </c>
      <c r="H11" s="20">
        <f t="shared" si="7"/>
        <v>0.21077999431479152</v>
      </c>
      <c r="I11" s="20">
        <f t="shared" si="7"/>
        <v>0.21077999431479152</v>
      </c>
      <c r="J11" s="20">
        <f t="shared" si="7"/>
        <v>0.21077999431479152</v>
      </c>
      <c r="K11" s="20">
        <f t="shared" si="7"/>
        <v>0.21077999431479152</v>
      </c>
      <c r="L11" s="20">
        <f t="shared" si="7"/>
        <v>0.21077999431479152</v>
      </c>
      <c r="M11" s="20">
        <f t="shared" si="7"/>
        <v>0.21077999431479152</v>
      </c>
      <c r="N11" s="20">
        <f t="shared" si="7"/>
        <v>0.21077999431479152</v>
      </c>
      <c r="O11" s="20">
        <f t="shared" si="7"/>
        <v>0.21077999431479152</v>
      </c>
      <c r="P11" s="10"/>
      <c r="Q11" s="18" t="s">
        <v>130</v>
      </c>
      <c r="R11" s="19">
        <f>R10/R3</f>
        <v>1.4273529758478896E-2</v>
      </c>
      <c r="S11" s="10"/>
      <c r="T11" s="10"/>
      <c r="U11" s="56"/>
      <c r="V11" s="58"/>
      <c r="W11" s="10"/>
      <c r="X11" s="10"/>
      <c r="Y11" s="56"/>
      <c r="Z11" s="58"/>
      <c r="AA11" s="56"/>
      <c r="AB11" s="58"/>
    </row>
    <row r="12" spans="1:28" x14ac:dyDescent="0.2">
      <c r="A12" s="11" t="s">
        <v>131</v>
      </c>
      <c r="B12" s="40"/>
      <c r="C12" s="40"/>
      <c r="D12" s="17">
        <f>AVERAGE(B11:D11)</f>
        <v>0.21077999431479152</v>
      </c>
      <c r="E12" s="1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10"/>
      <c r="Q12" s="8" t="s">
        <v>111</v>
      </c>
      <c r="R12" s="14">
        <f>D12</f>
        <v>0.21077999431479152</v>
      </c>
      <c r="S12" s="10"/>
      <c r="T12" s="10"/>
      <c r="U12" s="10"/>
      <c r="V12" s="10"/>
      <c r="W12" s="10"/>
      <c r="X12" s="10"/>
      <c r="Y12" s="57"/>
      <c r="Z12" s="58"/>
      <c r="AA12" s="58"/>
      <c r="AB12" s="58"/>
    </row>
    <row r="13" spans="1:28" x14ac:dyDescent="0.2">
      <c r="A13" s="22" t="s">
        <v>112</v>
      </c>
      <c r="B13" s="41">
        <f>B7*(1-B11)</f>
        <v>1269240.1121306529</v>
      </c>
      <c r="C13" s="41">
        <f t="shared" ref="C13:D13" si="8">C7*(1-C11)</f>
        <v>1524939.5918502074</v>
      </c>
      <c r="D13" s="41">
        <f t="shared" si="8"/>
        <v>1635233.2158816843</v>
      </c>
      <c r="E13" s="22"/>
      <c r="F13" s="41">
        <f>F7*(1-F11)</f>
        <v>1746275.9909504075</v>
      </c>
      <c r="G13" s="41">
        <f t="shared" ref="G13:O13" si="9">G7*(1-G11)</f>
        <v>1898475.2718868579</v>
      </c>
      <c r="H13" s="41">
        <f t="shared" si="9"/>
        <v>2050375.9353126332</v>
      </c>
      <c r="I13" s="41">
        <f t="shared" si="9"/>
        <v>2199781.4276958471</v>
      </c>
      <c r="J13" s="41">
        <f t="shared" si="9"/>
        <v>2344357.2323193215</v>
      </c>
      <c r="K13" s="41">
        <f t="shared" si="9"/>
        <v>2481685.5612813542</v>
      </c>
      <c r="L13" s="41">
        <f t="shared" si="9"/>
        <v>2609327.7889393927</v>
      </c>
      <c r="M13" s="41">
        <f t="shared" si="9"/>
        <v>2724892.6251563402</v>
      </c>
      <c r="N13" s="41">
        <f t="shared" si="9"/>
        <v>2826107.5651947004</v>
      </c>
      <c r="O13" s="41">
        <f t="shared" si="9"/>
        <v>2910890.7921505412</v>
      </c>
      <c r="P13" s="10"/>
      <c r="Q13" s="18" t="s">
        <v>132</v>
      </c>
      <c r="R13" s="19">
        <f>R11*(1-R12)</f>
        <v>1.1264955237134706E-2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">
      <c r="A14" s="10" t="s">
        <v>133</v>
      </c>
      <c r="B14" s="37"/>
      <c r="C14" s="37">
        <f>('Balance Sheet'!C15-'Balance Sheet'!C30)+'Balance Sheet'!C4+'Balance Sheet'!C3</f>
        <v>6250196</v>
      </c>
      <c r="D14" s="37">
        <f>('Balance Sheet'!B15-'Balance Sheet'!B30)+'Balance Sheet'!B4+'Balance Sheet'!B3</f>
        <v>6820054</v>
      </c>
      <c r="E14" s="1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0"/>
      <c r="Q14" s="23" t="s">
        <v>134</v>
      </c>
      <c r="R14" s="24">
        <v>0.03</v>
      </c>
      <c r="S14" s="10"/>
      <c r="T14" s="10"/>
      <c r="U14" s="10"/>
      <c r="V14" s="10"/>
      <c r="W14" s="11"/>
      <c r="X14" s="11"/>
      <c r="Y14" s="11"/>
      <c r="Z14" s="11"/>
      <c r="AA14" s="11"/>
      <c r="AB14" s="11"/>
    </row>
    <row r="15" spans="1:28" x14ac:dyDescent="0.2">
      <c r="A15" s="11" t="s">
        <v>135</v>
      </c>
      <c r="B15" s="38"/>
      <c r="C15" s="12"/>
      <c r="D15" s="12">
        <f>D13/C14</f>
        <v>0.26162910985218452</v>
      </c>
      <c r="E15" s="10"/>
      <c r="F15" s="12">
        <f>F13/D14</f>
        <v>0.25605017070985175</v>
      </c>
      <c r="G15" s="12">
        <f t="shared" ref="G15" si="10">$D$16</f>
        <v>0.25883964028101814</v>
      </c>
      <c r="H15" s="12">
        <f t="shared" ref="H15:N15" si="11">G15-($G$15-$O$15)/8</f>
        <v>0.26648468524589086</v>
      </c>
      <c r="I15" s="12">
        <f t="shared" si="11"/>
        <v>0.27412973021076359</v>
      </c>
      <c r="J15" s="12">
        <f t="shared" si="11"/>
        <v>0.28177477517563632</v>
      </c>
      <c r="K15" s="12">
        <f t="shared" si="11"/>
        <v>0.28941982014050904</v>
      </c>
      <c r="L15" s="12">
        <f t="shared" si="11"/>
        <v>0.29706486510538177</v>
      </c>
      <c r="M15" s="12">
        <f t="shared" si="11"/>
        <v>0.3047099100702545</v>
      </c>
      <c r="N15" s="12">
        <f t="shared" si="11"/>
        <v>0.31235495503512722</v>
      </c>
      <c r="O15" s="12">
        <v>0.32</v>
      </c>
      <c r="P15" s="10"/>
      <c r="Q15" s="25" t="s">
        <v>117</v>
      </c>
      <c r="R15" s="26">
        <f>R4*R9+R5*R13</f>
        <v>5.4206806546168433E-2</v>
      </c>
      <c r="S15" s="10"/>
      <c r="T15" s="10"/>
      <c r="U15" s="10"/>
      <c r="V15" s="10"/>
      <c r="W15" s="11"/>
      <c r="X15" s="11"/>
      <c r="Y15" s="11"/>
      <c r="Z15" s="11"/>
      <c r="AA15" s="11"/>
      <c r="AB15" s="11"/>
    </row>
    <row r="16" spans="1:28" x14ac:dyDescent="0.2">
      <c r="A16" s="11" t="s">
        <v>136</v>
      </c>
      <c r="B16" s="39"/>
      <c r="C16" s="39"/>
      <c r="D16" s="17">
        <f>AVERAGE(D15,F15)</f>
        <v>0.25883964028101814</v>
      </c>
      <c r="E16" s="1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">
      <c r="A17" s="10" t="s">
        <v>137</v>
      </c>
      <c r="B17" s="42">
        <f>B21-B18+B24</f>
        <v>-1782241</v>
      </c>
      <c r="C17" s="42">
        <f t="shared" ref="C17:D17" si="12">C21-C18+C24</f>
        <v>-1919856</v>
      </c>
      <c r="D17" s="42">
        <f t="shared" si="12"/>
        <v>-1539177</v>
      </c>
      <c r="E17" s="10"/>
      <c r="F17" s="37">
        <f>F4/F15*F13</f>
        <v>643138.23978679685</v>
      </c>
      <c r="G17" s="37">
        <f t="shared" ref="G17:O17" si="13">G4/G15*G13</f>
        <v>639254.61891170498</v>
      </c>
      <c r="H17" s="37">
        <f t="shared" si="13"/>
        <v>615624.60128797614</v>
      </c>
      <c r="I17" s="37">
        <f t="shared" si="13"/>
        <v>584731.45856435935</v>
      </c>
      <c r="J17" s="37">
        <f t="shared" si="13"/>
        <v>546811.65787145321</v>
      </c>
      <c r="K17" s="37">
        <f t="shared" si="13"/>
        <v>502290.3448492047</v>
      </c>
      <c r="L17" s="37">
        <f t="shared" si="13"/>
        <v>451777.88845450012</v>
      </c>
      <c r="M17" s="37">
        <f t="shared" si="13"/>
        <v>396058.99688068812</v>
      </c>
      <c r="N17" s="37">
        <f t="shared" si="13"/>
        <v>336074.46544254548</v>
      </c>
      <c r="O17" s="37">
        <f t="shared" si="13"/>
        <v>272896.01176411321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">
      <c r="A18" s="10" t="s">
        <v>109</v>
      </c>
      <c r="B18" s="37">
        <f>'Cash Flow Statement'!D5</f>
        <v>662305</v>
      </c>
      <c r="C18" s="37">
        <f>'Cash Flow Statement'!C5</f>
        <v>666777</v>
      </c>
      <c r="D18" s="37">
        <f>'Cash Flow Statement'!B5</f>
        <v>661937</v>
      </c>
      <c r="E18" s="10"/>
      <c r="F18" s="37">
        <f>F19*F3</f>
        <v>790919.01678773598</v>
      </c>
      <c r="G18" s="37">
        <f t="shared" ref="G18:O18" si="14">G19*G3</f>
        <v>859852.7398978743</v>
      </c>
      <c r="H18" s="37">
        <f t="shared" si="14"/>
        <v>928651.21390124888</v>
      </c>
      <c r="I18" s="37">
        <f t="shared" si="14"/>
        <v>996319.58118728525</v>
      </c>
      <c r="J18" s="37">
        <f t="shared" si="14"/>
        <v>1061800.4981996417</v>
      </c>
      <c r="K18" s="37">
        <f t="shared" si="14"/>
        <v>1123998.9064023679</v>
      </c>
      <c r="L18" s="37">
        <f t="shared" si="14"/>
        <v>1181810.3094812979</v>
      </c>
      <c r="M18" s="37">
        <f t="shared" si="14"/>
        <v>1234151.6502027027</v>
      </c>
      <c r="N18" s="37">
        <f t="shared" si="14"/>
        <v>1279993.6713232019</v>
      </c>
      <c r="O18" s="37">
        <f t="shared" si="14"/>
        <v>1318393.481462898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">
      <c r="A19" s="11" t="s">
        <v>138</v>
      </c>
      <c r="B19" s="12">
        <f>B18/B3</f>
        <v>0.11093614796020064</v>
      </c>
      <c r="C19" s="12">
        <f t="shared" ref="C19:D19" si="15">C18/C3</f>
        <v>9.9866729931756382E-2</v>
      </c>
      <c r="D19" s="12">
        <f t="shared" si="15"/>
        <v>9.2633430024596383E-2</v>
      </c>
      <c r="E19" s="11"/>
      <c r="F19" s="12">
        <f>$D$20</f>
        <v>0.10114543597218446</v>
      </c>
      <c r="G19" s="12">
        <f t="shared" ref="G19:O19" si="16">$D$20</f>
        <v>0.10114543597218446</v>
      </c>
      <c r="H19" s="12">
        <f t="shared" si="16"/>
        <v>0.10114543597218446</v>
      </c>
      <c r="I19" s="12">
        <f t="shared" si="16"/>
        <v>0.10114543597218446</v>
      </c>
      <c r="J19" s="12">
        <f t="shared" si="16"/>
        <v>0.10114543597218446</v>
      </c>
      <c r="K19" s="12">
        <f t="shared" si="16"/>
        <v>0.10114543597218446</v>
      </c>
      <c r="L19" s="12">
        <f t="shared" si="16"/>
        <v>0.10114543597218446</v>
      </c>
      <c r="M19" s="12">
        <f t="shared" si="16"/>
        <v>0.10114543597218446</v>
      </c>
      <c r="N19" s="12">
        <f t="shared" si="16"/>
        <v>0.10114543597218446</v>
      </c>
      <c r="O19" s="12">
        <f t="shared" si="16"/>
        <v>0.10114543597218446</v>
      </c>
      <c r="P19" s="11"/>
      <c r="Q19" s="11"/>
      <c r="R19" s="11"/>
      <c r="S19" s="11"/>
      <c r="T19" s="11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11" t="s">
        <v>139</v>
      </c>
      <c r="B20" s="39"/>
      <c r="C20" s="39"/>
      <c r="D20" s="17">
        <f>AVERAGE(B19:D19)</f>
        <v>0.10114543597218446</v>
      </c>
      <c r="E20" s="11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1"/>
      <c r="Q20" s="11"/>
      <c r="R20" s="11"/>
      <c r="S20" s="11"/>
      <c r="T20" s="11"/>
      <c r="U20" s="10"/>
      <c r="V20" s="10"/>
      <c r="W20" s="10"/>
      <c r="X20" s="10"/>
      <c r="Y20" s="10"/>
      <c r="Z20" s="10"/>
      <c r="AA20" s="10"/>
      <c r="AB20" s="10"/>
    </row>
    <row r="21" spans="1:28" x14ac:dyDescent="0.2">
      <c r="A21" s="10" t="s">
        <v>110</v>
      </c>
      <c r="B21" s="42">
        <f>SUM('Cash Flow Statement'!D20:D21)</f>
        <v>-868910</v>
      </c>
      <c r="C21" s="42">
        <f>SUM('Cash Flow Statement'!C20:C21)</f>
        <v>-989151</v>
      </c>
      <c r="D21" s="42">
        <f>SUM('Cash Flow Statement'!B20:B21)</f>
        <v>-943186</v>
      </c>
      <c r="E21" s="10"/>
      <c r="F21" s="37">
        <f>F17+F18-F24</f>
        <v>1622635.4968496393</v>
      </c>
      <c r="G21" s="37">
        <f t="shared" ref="G21:O21" si="17">G17+G18-G24</f>
        <v>1704121.4160568423</v>
      </c>
      <c r="H21" s="37">
        <f t="shared" si="17"/>
        <v>1765693.4420634541</v>
      </c>
      <c r="I21" s="37">
        <f t="shared" si="17"/>
        <v>1818602.7857382419</v>
      </c>
      <c r="J21" s="37">
        <f t="shared" si="17"/>
        <v>1861776.4690078991</v>
      </c>
      <c r="K21" s="37">
        <f t="shared" si="17"/>
        <v>1894283.4849739717</v>
      </c>
      <c r="L21" s="37">
        <f t="shared" si="17"/>
        <v>1915366.3620342009</v>
      </c>
      <c r="M21" s="37">
        <f t="shared" si="17"/>
        <v>1924468.5186074295</v>
      </c>
      <c r="N21" s="37">
        <f t="shared" si="17"/>
        <v>1921256.0877164612</v>
      </c>
      <c r="O21" s="37">
        <f t="shared" si="17"/>
        <v>1905633.0827062465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2">
      <c r="A22" s="11" t="s">
        <v>140</v>
      </c>
      <c r="B22" s="12">
        <f>B21/B3</f>
        <v>-0.14554250432066484</v>
      </c>
      <c r="C22" s="12">
        <f t="shared" ref="C22:D22" si="18">C21/C3</f>
        <v>-0.14815039477775441</v>
      </c>
      <c r="D22" s="12">
        <f t="shared" si="18"/>
        <v>-0.13199225051806887</v>
      </c>
      <c r="E22" s="1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x14ac:dyDescent="0.2">
      <c r="A23" s="11" t="s">
        <v>141</v>
      </c>
      <c r="B23" s="39"/>
      <c r="C23" s="39"/>
      <c r="D23" s="17">
        <f>AVERAGE(B22:D22)</f>
        <v>-0.1418950498721627</v>
      </c>
      <c r="E23" s="1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2">
      <c r="A24" s="10" t="s">
        <v>142</v>
      </c>
      <c r="B24" s="42">
        <f>'Cash Flow Statement'!D11+'Cash Flow Statement'!D12+'Cash Flow Statement'!D13+'Cash Flow Statement'!D15</f>
        <v>-251026</v>
      </c>
      <c r="C24" s="42">
        <f>'Cash Flow Statement'!C11+'Cash Flow Statement'!C12+'Cash Flow Statement'!C13+'Cash Flow Statement'!C15</f>
        <v>-263928</v>
      </c>
      <c r="D24" s="37">
        <f>'Cash Flow Statement'!B11+'Cash Flow Statement'!B12+'Cash Flow Statement'!B13+'Cash Flow Statement'!B15</f>
        <v>65946</v>
      </c>
      <c r="E24" s="10"/>
      <c r="F24" s="37">
        <f>F25*F3</f>
        <v>-188578.24027510651</v>
      </c>
      <c r="G24" s="37">
        <f t="shared" ref="G24:O24" si="19">G25*G3</f>
        <v>-205014.05724726318</v>
      </c>
      <c r="H24" s="37">
        <f t="shared" si="19"/>
        <v>-221417.62687422906</v>
      </c>
      <c r="I24" s="37">
        <f t="shared" si="19"/>
        <v>-237551.74598659709</v>
      </c>
      <c r="J24" s="37">
        <f t="shared" si="19"/>
        <v>-253164.31293680414</v>
      </c>
      <c r="K24" s="37">
        <f t="shared" si="19"/>
        <v>-267994.23372239916</v>
      </c>
      <c r="L24" s="37">
        <f t="shared" si="19"/>
        <v>-281778.16409840295</v>
      </c>
      <c r="M24" s="37">
        <f t="shared" si="19"/>
        <v>-294257.87152403849</v>
      </c>
      <c r="N24" s="37">
        <f t="shared" si="19"/>
        <v>-305187.95095071394</v>
      </c>
      <c r="O24" s="37">
        <f t="shared" si="19"/>
        <v>-314343.58947923541</v>
      </c>
      <c r="P24" s="10"/>
      <c r="Q24" s="10"/>
      <c r="R24" s="10"/>
      <c r="S24" s="10"/>
      <c r="T24" s="10"/>
      <c r="W24" s="10"/>
      <c r="X24" s="10"/>
      <c r="Y24" s="10"/>
      <c r="Z24" s="10"/>
      <c r="AA24" s="10"/>
      <c r="AB24" s="10"/>
    </row>
    <row r="25" spans="1:28" x14ac:dyDescent="0.2">
      <c r="A25" s="11" t="s">
        <v>143</v>
      </c>
      <c r="B25" s="12">
        <f>B24/B3</f>
        <v>-4.2046877915548467E-2</v>
      </c>
      <c r="C25" s="12">
        <f t="shared" ref="C25:D25" si="20">C24/C3</f>
        <v>-3.952989724814833E-2</v>
      </c>
      <c r="D25" s="12">
        <f t="shared" si="20"/>
        <v>9.2286791286814805E-3</v>
      </c>
      <c r="E25" s="10"/>
      <c r="F25" s="12">
        <f>$D$26</f>
        <v>-2.411603201167177E-2</v>
      </c>
      <c r="G25" s="12">
        <f t="shared" ref="G25:O25" si="21">$D$26</f>
        <v>-2.411603201167177E-2</v>
      </c>
      <c r="H25" s="12">
        <f t="shared" si="21"/>
        <v>-2.411603201167177E-2</v>
      </c>
      <c r="I25" s="12">
        <f t="shared" si="21"/>
        <v>-2.411603201167177E-2</v>
      </c>
      <c r="J25" s="12">
        <f t="shared" si="21"/>
        <v>-2.411603201167177E-2</v>
      </c>
      <c r="K25" s="12">
        <f t="shared" si="21"/>
        <v>-2.411603201167177E-2</v>
      </c>
      <c r="L25" s="12">
        <f t="shared" si="21"/>
        <v>-2.411603201167177E-2</v>
      </c>
      <c r="M25" s="12">
        <f t="shared" si="21"/>
        <v>-2.411603201167177E-2</v>
      </c>
      <c r="N25" s="12">
        <f t="shared" si="21"/>
        <v>-2.411603201167177E-2</v>
      </c>
      <c r="O25" s="12">
        <f t="shared" si="21"/>
        <v>-2.411603201167177E-2</v>
      </c>
      <c r="P25" s="10"/>
      <c r="Q25" s="10"/>
      <c r="R25" s="10"/>
      <c r="S25" s="10"/>
      <c r="T25" s="10"/>
      <c r="W25" s="10"/>
      <c r="X25" s="10"/>
      <c r="Y25" s="10"/>
      <c r="Z25" s="10"/>
      <c r="AA25" s="10"/>
      <c r="AB25" s="10"/>
    </row>
    <row r="26" spans="1:28" x14ac:dyDescent="0.2">
      <c r="A26" s="11" t="s">
        <v>144</v>
      </c>
      <c r="B26" s="39"/>
      <c r="C26" s="39"/>
      <c r="D26" s="43">
        <f>AVERAGE(B25:D25)</f>
        <v>-2.411603201167177E-2</v>
      </c>
      <c r="E26" s="1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0"/>
      <c r="Q26" s="10"/>
      <c r="R26" s="10"/>
      <c r="S26" s="10"/>
      <c r="T26" s="10"/>
      <c r="W26" s="10"/>
      <c r="X26" s="10"/>
      <c r="Y26" s="10"/>
      <c r="Z26" s="10"/>
      <c r="AA26" s="10"/>
      <c r="AB26" s="10"/>
    </row>
    <row r="27" spans="1:28" x14ac:dyDescent="0.2">
      <c r="A27" s="27" t="s">
        <v>145</v>
      </c>
      <c r="B27" s="44">
        <f>B13+B18-B21-B24</f>
        <v>3051481.1121306531</v>
      </c>
      <c r="C27" s="44">
        <f t="shared" ref="C27" si="22">C13+C18-C21-C24</f>
        <v>3444795.5918502072</v>
      </c>
      <c r="D27" s="44">
        <f>D13+D18-D21-D24</f>
        <v>3174410.2158816843</v>
      </c>
      <c r="E27" s="44"/>
      <c r="F27" s="55">
        <f t="shared" ref="F27:O27" si="23">F13+F18-F21-F24</f>
        <v>1103137.7511636103</v>
      </c>
      <c r="G27" s="55">
        <f t="shared" si="23"/>
        <v>1259220.6529751532</v>
      </c>
      <c r="H27" s="55">
        <f t="shared" si="23"/>
        <v>1434751.334024657</v>
      </c>
      <c r="I27" s="55">
        <f t="shared" si="23"/>
        <v>1615049.9691314879</v>
      </c>
      <c r="J27" s="55">
        <f t="shared" si="23"/>
        <v>1797545.5744478684</v>
      </c>
      <c r="K27" s="55">
        <f t="shared" si="23"/>
        <v>1979395.2164321498</v>
      </c>
      <c r="L27" s="55">
        <f t="shared" si="23"/>
        <v>2157549.9004848925</v>
      </c>
      <c r="M27" s="55">
        <f t="shared" si="23"/>
        <v>2328833.628275652</v>
      </c>
      <c r="N27" s="55">
        <f t="shared" si="23"/>
        <v>2490033.0997521551</v>
      </c>
      <c r="O27" s="55">
        <f t="shared" si="23"/>
        <v>2637994.7803864279</v>
      </c>
      <c r="P27" s="10"/>
      <c r="Q27" s="10"/>
      <c r="R27" s="10"/>
      <c r="S27" s="10"/>
      <c r="T27" s="10"/>
      <c r="W27" s="10"/>
      <c r="X27" s="10"/>
      <c r="Y27" s="10"/>
      <c r="Z27" s="10"/>
      <c r="AA27" s="10"/>
      <c r="AB27" s="10"/>
    </row>
    <row r="28" spans="1:28" x14ac:dyDescent="0.2">
      <c r="A28" s="7" t="s">
        <v>146</v>
      </c>
      <c r="B28" s="10"/>
      <c r="C28" s="10"/>
      <c r="D28" s="10"/>
      <c r="E28" s="10"/>
      <c r="F28" s="50">
        <f>F27/(1+$R$15)^1</f>
        <v>1046414.9389983083</v>
      </c>
      <c r="G28" s="51">
        <f>G27/(1+$R$15)^2</f>
        <v>1133052.9510079441</v>
      </c>
      <c r="H28" s="51">
        <f>H27/(1+$R$15)^3</f>
        <v>1224613.9136047575</v>
      </c>
      <c r="I28" s="51">
        <f>I27/(1+$R$15)^4</f>
        <v>1307623.4492704608</v>
      </c>
      <c r="J28" s="51">
        <f>J27/(1+$R$15)^5</f>
        <v>1380545.8363599125</v>
      </c>
      <c r="K28" s="51">
        <f>K27/(1+$R$15)^6</f>
        <v>1442041.0411141091</v>
      </c>
      <c r="L28" s="51">
        <f>L27/(1+$R$15)^7</f>
        <v>1491008.5623226473</v>
      </c>
      <c r="M28" s="51">
        <f>M27/(1+$R$15)^8</f>
        <v>1526623.4747130873</v>
      </c>
      <c r="N28" s="51">
        <f>N27/(1+$R$15)^9</f>
        <v>1548362.9713705909</v>
      </c>
      <c r="O28" s="51">
        <f>O27/(1+$R$15)^10</f>
        <v>1556022.1416409321</v>
      </c>
      <c r="P28" s="10"/>
      <c r="Q28" s="10"/>
      <c r="R28" s="10"/>
      <c r="S28" s="10"/>
      <c r="T28" s="10"/>
      <c r="W28" s="10"/>
      <c r="X28" s="10"/>
      <c r="Y28" s="10"/>
      <c r="Z28" s="10"/>
      <c r="AA28" s="10"/>
      <c r="AB28" s="10"/>
    </row>
    <row r="29" spans="1:28" x14ac:dyDescent="0.2">
      <c r="A29" s="7" t="s">
        <v>147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37">
        <f>(O27*(1+R14))/(R15-R14)</f>
        <v>112246719.47601867</v>
      </c>
      <c r="P29" s="10"/>
      <c r="Q29" s="10"/>
      <c r="R29" s="10"/>
      <c r="S29" s="10"/>
      <c r="T29" s="10"/>
    </row>
    <row r="30" spans="1:28" x14ac:dyDescent="0.2">
      <c r="A30" s="28" t="s">
        <v>113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52">
        <f>O29/(1+R15)^10</f>
        <v>66208766.647240512</v>
      </c>
      <c r="P30" s="10"/>
      <c r="Q30" s="10"/>
      <c r="R30" s="10"/>
      <c r="S30" s="10"/>
      <c r="T30" s="10"/>
    </row>
    <row r="31" spans="1:28" x14ac:dyDescent="0.2">
      <c r="A31" s="28" t="s">
        <v>148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53">
        <f>SUM(F28:O28,O30)</f>
        <v>79865075.927643254</v>
      </c>
      <c r="P31" s="10"/>
      <c r="Q31" s="10"/>
      <c r="R31" s="10"/>
      <c r="S31" s="10"/>
      <c r="T31" s="10"/>
    </row>
    <row r="32" spans="1:28" x14ac:dyDescent="0.2">
      <c r="A32" s="7" t="s">
        <v>149</v>
      </c>
      <c r="B32" s="10"/>
      <c r="C32" s="10"/>
      <c r="D32" s="7"/>
      <c r="E32" s="7"/>
      <c r="F32" s="10"/>
      <c r="G32" s="10"/>
      <c r="H32" s="10"/>
      <c r="I32" s="10"/>
      <c r="J32" s="10"/>
      <c r="K32" s="10"/>
      <c r="L32" s="10"/>
      <c r="M32" s="10"/>
      <c r="N32" s="10"/>
      <c r="O32" s="37">
        <f>O31-R3+'Cash Flow Statement'!B40</f>
        <v>78448566.927643254</v>
      </c>
      <c r="P32" s="10"/>
      <c r="Q32" s="10"/>
      <c r="R32" s="10"/>
      <c r="S32" s="10"/>
      <c r="T32" s="10"/>
    </row>
    <row r="33" spans="1:20" x14ac:dyDescent="0.2">
      <c r="A33" s="30" t="s">
        <v>120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54">
        <f>O32/'Balance Sheet'!B33</f>
        <v>442.51471932740628</v>
      </c>
      <c r="P33" s="10"/>
      <c r="Q33" s="10"/>
      <c r="R33" s="10"/>
      <c r="S33" s="10"/>
      <c r="T3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8C82-186D-A14C-A0A4-9B87934EB227}">
  <dimension ref="A1:AL52"/>
  <sheetViews>
    <sheetView tabSelected="1" zoomScale="70" zoomScaleNormal="70" workbookViewId="0">
      <pane xSplit="1" topLeftCell="M1" activePane="topRight" state="frozen"/>
      <selection pane="topRight" activeCell="AG24" sqref="AG24"/>
    </sheetView>
  </sheetViews>
  <sheetFormatPr baseColWidth="10" defaultColWidth="8.83203125" defaultRowHeight="15" x14ac:dyDescent="0.2"/>
  <cols>
    <col min="1" max="1" width="51.6640625" bestFit="1" customWidth="1"/>
    <col min="2" max="4" width="14.1640625" bestFit="1" customWidth="1"/>
    <col min="5" max="9" width="15.33203125" customWidth="1"/>
    <col min="10" max="12" width="15.6640625" bestFit="1" customWidth="1"/>
    <col min="13" max="13" width="1.33203125" bestFit="1" customWidth="1"/>
    <col min="14" max="15" width="15.83203125" bestFit="1" customWidth="1"/>
    <col min="16" max="16" width="15.6640625" bestFit="1" customWidth="1"/>
    <col min="17" max="21" width="15.83203125" bestFit="1" customWidth="1"/>
    <col min="22" max="23" width="16.6640625" bestFit="1" customWidth="1"/>
    <col min="24" max="24" width="14.1640625" customWidth="1"/>
    <col min="25" max="25" width="21.1640625" bestFit="1" customWidth="1"/>
    <col min="26" max="26" width="15.5" customWidth="1"/>
    <col min="29" max="29" width="7.6640625" bestFit="1" customWidth="1"/>
    <col min="30" max="30" width="15.1640625" bestFit="1" customWidth="1"/>
    <col min="31" max="31" width="12.6640625" bestFit="1" customWidth="1"/>
    <col min="33" max="33" width="23.5" bestFit="1" customWidth="1"/>
    <col min="34" max="36" width="12.6640625" bestFit="1" customWidth="1"/>
  </cols>
  <sheetData>
    <row r="1" spans="1:38" ht="16" thickBot="1" x14ac:dyDescent="0.25">
      <c r="N1" s="69" t="s">
        <v>159</v>
      </c>
      <c r="O1" s="70"/>
      <c r="P1" s="70"/>
      <c r="Q1" s="70"/>
      <c r="R1" s="71"/>
      <c r="S1" s="69" t="s">
        <v>160</v>
      </c>
      <c r="T1" s="69"/>
      <c r="U1" s="69"/>
      <c r="V1" s="69"/>
      <c r="W1" s="69"/>
    </row>
    <row r="2" spans="1:38" x14ac:dyDescent="0.2">
      <c r="A2" s="72" t="s">
        <v>114</v>
      </c>
      <c r="B2" s="72"/>
      <c r="C2" s="72"/>
      <c r="D2" s="72"/>
      <c r="E2" s="72"/>
      <c r="F2" s="72"/>
      <c r="G2" s="72"/>
      <c r="H2" s="72"/>
      <c r="I2" s="72"/>
      <c r="J2" s="72" t="s">
        <v>115</v>
      </c>
      <c r="K2" s="72" t="s">
        <v>115</v>
      </c>
      <c r="L2" s="72" t="s">
        <v>115</v>
      </c>
      <c r="M2" s="5"/>
      <c r="N2" s="72" t="s">
        <v>116</v>
      </c>
      <c r="O2" s="72" t="s">
        <v>115</v>
      </c>
      <c r="P2" s="72" t="s">
        <v>115</v>
      </c>
      <c r="Q2" s="72" t="s">
        <v>115</v>
      </c>
      <c r="R2" s="73" t="s">
        <v>115</v>
      </c>
      <c r="S2" s="72" t="s">
        <v>115</v>
      </c>
      <c r="T2" s="72" t="s">
        <v>115</v>
      </c>
      <c r="U2" s="72" t="s">
        <v>115</v>
      </c>
      <c r="V2" s="72" t="s">
        <v>115</v>
      </c>
      <c r="W2" s="72" t="s">
        <v>115</v>
      </c>
      <c r="X2" s="5"/>
      <c r="Y2" s="32" t="s">
        <v>117</v>
      </c>
      <c r="Z2" s="33" t="s">
        <v>115</v>
      </c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8" x14ac:dyDescent="0.2">
      <c r="A3" s="7"/>
      <c r="B3" s="7">
        <v>2015</v>
      </c>
      <c r="C3" s="7">
        <v>2016</v>
      </c>
      <c r="D3" s="7">
        <v>2017</v>
      </c>
      <c r="E3" s="7">
        <v>2018</v>
      </c>
      <c r="F3" s="7">
        <v>2019</v>
      </c>
      <c r="G3" s="7">
        <v>2020</v>
      </c>
      <c r="H3" s="7">
        <v>2021</v>
      </c>
      <c r="I3" s="7">
        <v>2022</v>
      </c>
      <c r="J3" s="7">
        <v>2023</v>
      </c>
      <c r="K3" s="7">
        <v>2024</v>
      </c>
      <c r="L3" s="7">
        <v>2025</v>
      </c>
      <c r="M3" s="7"/>
      <c r="N3" s="7">
        <v>2026</v>
      </c>
      <c r="O3" s="7">
        <v>2027</v>
      </c>
      <c r="P3" s="7">
        <v>2028</v>
      </c>
      <c r="Q3" s="7">
        <v>2029</v>
      </c>
      <c r="R3" s="7">
        <v>2030</v>
      </c>
      <c r="S3" s="118">
        <v>2031</v>
      </c>
      <c r="T3" s="7">
        <v>2032</v>
      </c>
      <c r="U3" s="7">
        <v>2033</v>
      </c>
      <c r="V3" s="7">
        <v>2034</v>
      </c>
      <c r="W3" s="7">
        <v>2035</v>
      </c>
      <c r="X3" s="7"/>
      <c r="Y3" s="8" t="s">
        <v>118</v>
      </c>
      <c r="Z3" s="45">
        <f>'Balance Sheet'!B36</f>
        <v>54009288.302999996</v>
      </c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8" x14ac:dyDescent="0.2">
      <c r="A4" s="10" t="s">
        <v>103</v>
      </c>
      <c r="B4" s="37">
        <f t="shared" ref="B4:I4" si="0">B10+B12</f>
        <v>2854000</v>
      </c>
      <c r="C4" s="37">
        <f t="shared" si="0"/>
        <v>3105000</v>
      </c>
      <c r="D4" s="37">
        <f t="shared" si="0"/>
        <v>3417000</v>
      </c>
      <c r="E4" s="37">
        <f t="shared" si="0"/>
        <v>3420321</v>
      </c>
      <c r="F4" s="37">
        <f t="shared" si="0"/>
        <v>3766615</v>
      </c>
      <c r="G4" s="37">
        <f t="shared" si="0"/>
        <v>3459790</v>
      </c>
      <c r="H4" s="37">
        <f t="shared" si="0"/>
        <v>4270894</v>
      </c>
      <c r="I4" s="37">
        <f t="shared" si="0"/>
        <v>5095254</v>
      </c>
      <c r="J4" s="37">
        <f>J10+J12</f>
        <v>5970146</v>
      </c>
      <c r="K4" s="37">
        <f>K10+K12</f>
        <v>6676668</v>
      </c>
      <c r="L4" s="37">
        <f>L10+L12</f>
        <v>7145768</v>
      </c>
      <c r="M4" s="37"/>
      <c r="N4" s="37">
        <f t="shared" ref="N4:V4" si="1">N10+N12</f>
        <v>8101205.3903117441</v>
      </c>
      <c r="O4" s="37">
        <f t="shared" si="1"/>
        <v>9184423.9941684268</v>
      </c>
      <c r="P4" s="37">
        <f t="shared" si="1"/>
        <v>10226228.140831374</v>
      </c>
      <c r="Q4" s="37">
        <f t="shared" si="1"/>
        <v>11386613.121065754</v>
      </c>
      <c r="R4" s="37">
        <f t="shared" si="1"/>
        <v>12679127.232025078</v>
      </c>
      <c r="S4" s="112">
        <f t="shared" si="1"/>
        <v>13947660.590995075</v>
      </c>
      <c r="T4" s="37">
        <f t="shared" si="1"/>
        <v>15099883.692662574</v>
      </c>
      <c r="U4" s="37">
        <f t="shared" si="1"/>
        <v>16082987.177412499</v>
      </c>
      <c r="V4" s="37">
        <f t="shared" si="1"/>
        <v>16847909.286421034</v>
      </c>
      <c r="W4" s="37">
        <f>W10+W12</f>
        <v>17353346.565013666</v>
      </c>
      <c r="X4" s="7"/>
      <c r="Y4" s="8" t="s">
        <v>119</v>
      </c>
      <c r="Z4" s="45">
        <f>'Balance Sheet'!B25</f>
        <v>2884220</v>
      </c>
      <c r="AA4" s="7"/>
      <c r="AB4" s="7"/>
      <c r="AD4" s="68" t="s">
        <v>107</v>
      </c>
      <c r="AE4" s="68" t="s">
        <v>171</v>
      </c>
      <c r="AF4" s="7"/>
      <c r="AG4" s="68" t="s">
        <v>161</v>
      </c>
      <c r="AH4" s="61">
        <v>2.5000000000000001E-2</v>
      </c>
      <c r="AI4" s="61">
        <v>0.03</v>
      </c>
      <c r="AJ4" s="61">
        <v>3.5000000000000003E-2</v>
      </c>
    </row>
    <row r="5" spans="1:38" x14ac:dyDescent="0.2">
      <c r="A5" s="64" t="s">
        <v>104</v>
      </c>
      <c r="B5" s="63"/>
      <c r="C5" s="12">
        <f t="shared" ref="C5:J5" si="2">(C4-B4)/B4</f>
        <v>8.7946741415557111E-2</v>
      </c>
      <c r="D5" s="12">
        <f t="shared" si="2"/>
        <v>0.10048309178743961</v>
      </c>
      <c r="E5" s="12">
        <f t="shared" si="2"/>
        <v>9.7190517998244075E-4</v>
      </c>
      <c r="F5" s="12">
        <f t="shared" si="2"/>
        <v>0.10124605263658001</v>
      </c>
      <c r="G5" s="12">
        <f t="shared" si="2"/>
        <v>-8.1459081960858756E-2</v>
      </c>
      <c r="H5" s="12">
        <f t="shared" si="2"/>
        <v>0.23443735024380091</v>
      </c>
      <c r="I5" s="12">
        <f t="shared" si="2"/>
        <v>0.19301813624969386</v>
      </c>
      <c r="J5" s="12">
        <f t="shared" si="2"/>
        <v>0.17170723971758817</v>
      </c>
      <c r="K5" s="12">
        <f>(K4-J4)/J4</f>
        <v>0.11834249949666223</v>
      </c>
      <c r="L5" s="12">
        <f>(L4-K4)/K4</f>
        <v>7.0259596553250814E-2</v>
      </c>
      <c r="M5" s="12"/>
      <c r="N5" s="12">
        <f>(N4-L4)/L4</f>
        <v>0.13370674647032257</v>
      </c>
      <c r="O5" s="12">
        <f>(O4-N4)/N4</f>
        <v>0.13371079384706222</v>
      </c>
      <c r="P5" s="12">
        <f t="shared" ref="P5:W5" si="3">(P4-O4)/O4</f>
        <v>0.11343162590538412</v>
      </c>
      <c r="Q5" s="12">
        <f t="shared" si="3"/>
        <v>0.11347145440665317</v>
      </c>
      <c r="R5" s="12">
        <f t="shared" si="3"/>
        <v>0.11351172620136825</v>
      </c>
      <c r="S5" s="99">
        <f t="shared" si="3"/>
        <v>0.10004894940764709</v>
      </c>
      <c r="T5" s="12">
        <f t="shared" si="3"/>
        <v>8.2610491856347612E-2</v>
      </c>
      <c r="U5" s="12">
        <f t="shared" si="3"/>
        <v>6.510669252556163E-2</v>
      </c>
      <c r="V5" s="12">
        <f t="shared" si="3"/>
        <v>4.7560947513706826E-2</v>
      </c>
      <c r="W5" s="12">
        <f t="shared" si="3"/>
        <v>3.0000000000000013E-2</v>
      </c>
      <c r="X5" s="13"/>
      <c r="Y5" s="8" t="s">
        <v>121</v>
      </c>
      <c r="Z5" s="49">
        <f>Z3/(Z3+Z4)</f>
        <v>0.94930493678401062</v>
      </c>
      <c r="AA5" s="13"/>
      <c r="AB5" s="13"/>
      <c r="AD5" s="75">
        <v>0.22</v>
      </c>
      <c r="AE5" s="78">
        <v>198.64902651978514</v>
      </c>
      <c r="AF5" s="13"/>
      <c r="AG5" s="74">
        <v>0.7</v>
      </c>
      <c r="AH5" s="59">
        <v>336.77868452080287</v>
      </c>
      <c r="AI5" s="59">
        <v>377.63760144759613</v>
      </c>
      <c r="AJ5" s="77">
        <v>432.80664191216238</v>
      </c>
    </row>
    <row r="6" spans="1:38" x14ac:dyDescent="0.2">
      <c r="A6" s="85" t="s">
        <v>152</v>
      </c>
      <c r="B6" s="62">
        <v>7664</v>
      </c>
      <c r="C6" s="62">
        <v>8014</v>
      </c>
      <c r="D6" s="62">
        <v>8398</v>
      </c>
      <c r="E6" s="62">
        <v>9251</v>
      </c>
      <c r="F6" s="62">
        <v>10131</v>
      </c>
      <c r="G6" s="62">
        <v>9119</v>
      </c>
      <c r="H6" s="62">
        <v>11155</v>
      </c>
      <c r="I6" s="62">
        <v>13221</v>
      </c>
      <c r="J6" s="62">
        <v>13663</v>
      </c>
      <c r="K6" s="62">
        <v>13752</v>
      </c>
      <c r="L6" s="62">
        <v>13640</v>
      </c>
      <c r="M6" s="17"/>
      <c r="N6" s="62">
        <f>L6*(1+N7)</f>
        <v>13708.199999999999</v>
      </c>
      <c r="O6" s="62">
        <f>N6*(1+O7)</f>
        <v>13776.740999999998</v>
      </c>
      <c r="P6" s="62">
        <f t="shared" ref="P6:W6" si="4">O6*(1+P7)</f>
        <v>13845.624704999997</v>
      </c>
      <c r="Q6" s="62">
        <f t="shared" si="4"/>
        <v>13914.852828524996</v>
      </c>
      <c r="R6" s="62">
        <f t="shared" si="4"/>
        <v>13984.42709266762</v>
      </c>
      <c r="S6" s="123">
        <f t="shared" si="4"/>
        <v>14040.364801038291</v>
      </c>
      <c r="T6" s="62">
        <f t="shared" si="4"/>
        <v>14082.485895441405</v>
      </c>
      <c r="U6" s="62">
        <f t="shared" si="4"/>
        <v>14110.650867232287</v>
      </c>
      <c r="V6" s="62">
        <f t="shared" si="4"/>
        <v>14124.761518099518</v>
      </c>
      <c r="W6" s="62">
        <f t="shared" si="4"/>
        <v>14124.761518099518</v>
      </c>
      <c r="X6" s="13"/>
      <c r="Y6" s="8" t="s">
        <v>123</v>
      </c>
      <c r="Z6" s="49">
        <f>Z4/(Z4+Z3)</f>
        <v>5.0695063215989357E-2</v>
      </c>
      <c r="AA6" s="13"/>
      <c r="AB6" s="13"/>
      <c r="AC6" s="56"/>
      <c r="AD6" s="75">
        <v>0.24</v>
      </c>
      <c r="AE6" s="78">
        <v>212.74399279131111</v>
      </c>
      <c r="AF6" s="13"/>
      <c r="AG6" s="74">
        <v>0.8</v>
      </c>
      <c r="AH6" s="59">
        <v>292.03710602564286</v>
      </c>
      <c r="AI6" s="59">
        <v>321.83412225273304</v>
      </c>
      <c r="AJ6" s="59">
        <v>360.45370616221084</v>
      </c>
    </row>
    <row r="7" spans="1:38" x14ac:dyDescent="0.2">
      <c r="A7" s="86" t="s">
        <v>156</v>
      </c>
      <c r="B7" s="65">
        <f>(B6-7255)/7255</f>
        <v>5.6374913852515508E-2</v>
      </c>
      <c r="C7" s="65">
        <f t="shared" ref="C7:J7" si="5">(C6-B6)/B6</f>
        <v>4.5668058455114825E-2</v>
      </c>
      <c r="D7" s="65">
        <f t="shared" si="5"/>
        <v>4.7916146743199398E-2</v>
      </c>
      <c r="E7" s="65">
        <f t="shared" si="5"/>
        <v>0.1015718028101929</v>
      </c>
      <c r="F7" s="65">
        <f t="shared" si="5"/>
        <v>9.5124851367419744E-2</v>
      </c>
      <c r="G7" s="65">
        <f t="shared" si="5"/>
        <v>-9.9891422366992402E-2</v>
      </c>
      <c r="H7" s="65">
        <f t="shared" si="5"/>
        <v>0.22327009540519793</v>
      </c>
      <c r="I7" s="65">
        <f t="shared" si="5"/>
        <v>0.18520842671447782</v>
      </c>
      <c r="J7" s="65">
        <f t="shared" si="5"/>
        <v>3.3431661750245818E-2</v>
      </c>
      <c r="K7" s="65">
        <f>(K6-J6)/J6</f>
        <v>6.5139427651321087E-3</v>
      </c>
      <c r="L7" s="66">
        <f>(L6-K6)/K6</f>
        <v>-8.1442699243746367E-3</v>
      </c>
      <c r="M7" s="17"/>
      <c r="N7" s="67">
        <v>5.0000000000000001E-3</v>
      </c>
      <c r="O7" s="67">
        <v>5.0000000000000001E-3</v>
      </c>
      <c r="P7" s="67">
        <v>5.0000000000000001E-3</v>
      </c>
      <c r="Q7" s="67">
        <v>5.0000000000000001E-3</v>
      </c>
      <c r="R7" s="67">
        <v>5.0000000000000001E-3</v>
      </c>
      <c r="S7" s="119">
        <v>4.0000000000000001E-3</v>
      </c>
      <c r="T7" s="67">
        <v>3.0000000000000001E-3</v>
      </c>
      <c r="U7" s="67">
        <v>2E-3</v>
      </c>
      <c r="V7" s="67">
        <v>1E-3</v>
      </c>
      <c r="W7" s="67">
        <v>0</v>
      </c>
      <c r="X7" s="13"/>
      <c r="Y7" s="8" t="s">
        <v>106</v>
      </c>
      <c r="Z7" s="9">
        <v>1.07</v>
      </c>
      <c r="AA7" s="13"/>
      <c r="AB7" s="13"/>
      <c r="AC7" s="56"/>
      <c r="AD7" s="75">
        <v>0.26</v>
      </c>
      <c r="AE7" s="79">
        <v>226.83895906283703</v>
      </c>
      <c r="AF7" s="13"/>
      <c r="AG7" s="74">
        <v>0.9</v>
      </c>
      <c r="AH7" s="59">
        <v>256.97579430046801</v>
      </c>
      <c r="AI7" s="59">
        <v>279.43127068756758</v>
      </c>
      <c r="AJ7" s="59">
        <v>307.6453278572007</v>
      </c>
    </row>
    <row r="8" spans="1:38" x14ac:dyDescent="0.2">
      <c r="A8" s="87" t="s">
        <v>177</v>
      </c>
      <c r="B8" s="95"/>
      <c r="C8" s="95"/>
      <c r="D8" s="95"/>
      <c r="E8" s="95"/>
      <c r="F8" s="95"/>
      <c r="G8" s="95"/>
      <c r="H8" s="62">
        <f t="shared" ref="H8:J8" si="6">H6*H9</f>
        <v>1673.25</v>
      </c>
      <c r="I8" s="62">
        <f t="shared" si="6"/>
        <v>2908.62</v>
      </c>
      <c r="J8" s="62">
        <f t="shared" si="6"/>
        <v>6011.72</v>
      </c>
      <c r="K8" s="62">
        <f>K6*K9</f>
        <v>7054.7759999999998</v>
      </c>
      <c r="L8" s="62">
        <f>L6*L9</f>
        <v>5728.8</v>
      </c>
      <c r="M8" s="17"/>
      <c r="N8" s="126">
        <f>N6*N9</f>
        <v>6168.69</v>
      </c>
      <c r="O8" s="126">
        <f t="shared" ref="O8:W8" si="7">O6*O9</f>
        <v>6888.3704999999991</v>
      </c>
      <c r="P8" s="126">
        <f t="shared" si="7"/>
        <v>6922.8123524999983</v>
      </c>
      <c r="Q8" s="126">
        <f t="shared" si="7"/>
        <v>7653.1690556887479</v>
      </c>
      <c r="R8" s="126">
        <f t="shared" si="7"/>
        <v>8390.656255600572</v>
      </c>
      <c r="S8" s="127">
        <f t="shared" si="7"/>
        <v>8424.2188806229751</v>
      </c>
      <c r="T8" s="126">
        <f t="shared" si="7"/>
        <v>8449.4915372648429</v>
      </c>
      <c r="U8" s="126">
        <f t="shared" si="7"/>
        <v>8466.3905203393715</v>
      </c>
      <c r="V8" s="126">
        <f t="shared" si="7"/>
        <v>8474.8569108597112</v>
      </c>
      <c r="W8" s="126">
        <f t="shared" si="7"/>
        <v>8474.8569108597112</v>
      </c>
      <c r="X8" s="13"/>
      <c r="Y8" s="8" t="s">
        <v>108</v>
      </c>
      <c r="Z8" s="14">
        <v>5.5E-2</v>
      </c>
      <c r="AA8" s="10"/>
      <c r="AB8" s="10"/>
      <c r="AC8" s="10"/>
      <c r="AD8" s="75">
        <v>0.28000000000000003</v>
      </c>
      <c r="AE8" s="144">
        <v>240.93392533436307</v>
      </c>
      <c r="AF8" s="10"/>
      <c r="AG8" s="74">
        <v>1.07</v>
      </c>
      <c r="AH8" s="59">
        <v>212.14874679538025</v>
      </c>
      <c r="AI8" s="60">
        <v>226.83895906283703</v>
      </c>
      <c r="AJ8" s="59">
        <v>244.59789147336647</v>
      </c>
      <c r="AL8" s="2"/>
    </row>
    <row r="9" spans="1:38" x14ac:dyDescent="0.2">
      <c r="A9" s="86" t="s">
        <v>178</v>
      </c>
      <c r="B9" s="96"/>
      <c r="C9" s="96"/>
      <c r="D9" s="96"/>
      <c r="E9" s="97"/>
      <c r="F9" s="97"/>
      <c r="G9" s="97"/>
      <c r="H9" s="65">
        <v>0.15</v>
      </c>
      <c r="I9" s="65">
        <v>0.22</v>
      </c>
      <c r="J9" s="65">
        <v>0.44</v>
      </c>
      <c r="K9" s="65">
        <v>0.51300000000000001</v>
      </c>
      <c r="L9" s="65">
        <v>0.42</v>
      </c>
      <c r="M9" s="17"/>
      <c r="N9" s="128">
        <v>0.45</v>
      </c>
      <c r="O9" s="128">
        <v>0.5</v>
      </c>
      <c r="P9" s="128">
        <v>0.5</v>
      </c>
      <c r="Q9" s="128">
        <v>0.55000000000000004</v>
      </c>
      <c r="R9" s="128">
        <v>0.6</v>
      </c>
      <c r="S9" s="134">
        <v>0.6</v>
      </c>
      <c r="T9" s="128">
        <v>0.6</v>
      </c>
      <c r="U9" s="128">
        <v>0.6</v>
      </c>
      <c r="V9" s="128">
        <v>0.6</v>
      </c>
      <c r="W9" s="128">
        <v>0.6</v>
      </c>
      <c r="X9" s="13"/>
      <c r="Y9" s="8" t="s">
        <v>125</v>
      </c>
      <c r="Z9" s="14">
        <v>2.7859999999999999E-2</v>
      </c>
      <c r="AA9" s="11"/>
      <c r="AB9" s="11"/>
      <c r="AC9" s="10"/>
      <c r="AD9" s="75">
        <v>0.3</v>
      </c>
      <c r="AE9" s="78">
        <v>255.02889160588896</v>
      </c>
      <c r="AF9" s="10"/>
      <c r="AG9" s="74">
        <v>1.1000000000000001</v>
      </c>
      <c r="AH9" s="76">
        <v>205.65851790901806</v>
      </c>
      <c r="AI9" s="59">
        <v>219.37050297662489</v>
      </c>
      <c r="AJ9" s="59">
        <v>235.85610688784138</v>
      </c>
    </row>
    <row r="10" spans="1:38" x14ac:dyDescent="0.2">
      <c r="A10" s="88" t="s">
        <v>154</v>
      </c>
      <c r="B10" s="37">
        <f>441000+219000+114000</f>
        <v>774000</v>
      </c>
      <c r="C10" s="37">
        <f>488000+338000+99000</f>
        <v>925000</v>
      </c>
      <c r="D10" s="37">
        <f>494000+373000+94000</f>
        <v>961000</v>
      </c>
      <c r="E10" s="37">
        <f>505701+284546+94829</f>
        <v>885076</v>
      </c>
      <c r="F10" s="37">
        <f>538238+198308+104348</f>
        <v>840894</v>
      </c>
      <c r="G10" s="37">
        <f>390002+150655+83963</f>
        <v>624620</v>
      </c>
      <c r="H10" s="37">
        <f>450860+189432+77764</f>
        <v>718056</v>
      </c>
      <c r="I10" s="37">
        <f>498861+155342+119931</f>
        <v>774134</v>
      </c>
      <c r="J10" s="37">
        <f>571759+279206</f>
        <v>850965</v>
      </c>
      <c r="K10" s="37">
        <f>669776+279204</f>
        <v>948980</v>
      </c>
      <c r="L10" s="37">
        <f>819551+320974</f>
        <v>1140525</v>
      </c>
      <c r="M10" s="17"/>
      <c r="N10" s="37">
        <f>L10*(1+N11)</f>
        <v>1287414.8639725118</v>
      </c>
      <c r="O10" s="37">
        <f>N10*(1+O11)</f>
        <v>1453222.8859317955</v>
      </c>
      <c r="P10" s="37">
        <f t="shared" ref="P10:W10" si="8">O10*(1+P11)</f>
        <v>1640385.5628010114</v>
      </c>
      <c r="Q10" s="37">
        <f t="shared" si="8"/>
        <v>1851653.1914652779</v>
      </c>
      <c r="R10" s="37">
        <f t="shared" si="8"/>
        <v>2090130.283522534</v>
      </c>
      <c r="S10" s="112">
        <f t="shared" si="8"/>
        <v>2359321.1851086039</v>
      </c>
      <c r="T10" s="37">
        <f t="shared" si="8"/>
        <v>2604911.3842895916</v>
      </c>
      <c r="U10" s="37">
        <f t="shared" si="8"/>
        <v>2811730.2070228737</v>
      </c>
      <c r="V10" s="37">
        <f t="shared" si="8"/>
        <v>2965525.8364763753</v>
      </c>
      <c r="W10" s="37">
        <f t="shared" si="8"/>
        <v>3054491.6115706665</v>
      </c>
      <c r="X10" s="13"/>
      <c r="Y10" s="18" t="s">
        <v>127</v>
      </c>
      <c r="Z10" s="19">
        <f>Z9+Z7*Z8</f>
        <v>8.6710000000000009E-2</v>
      </c>
      <c r="AA10" s="11"/>
      <c r="AB10" s="11"/>
      <c r="AC10" s="10"/>
      <c r="AD10" s="10"/>
      <c r="AE10" s="11"/>
      <c r="AF10" s="11"/>
      <c r="AG10" s="11"/>
      <c r="AH10" s="11"/>
      <c r="AI10" s="11"/>
      <c r="AJ10" s="11"/>
    </row>
    <row r="11" spans="1:38" x14ac:dyDescent="0.2">
      <c r="A11" s="86" t="s">
        <v>155</v>
      </c>
      <c r="B11" s="97"/>
      <c r="C11" s="65">
        <f t="shared" ref="C11:J11" si="9">(C10-B10)/B10</f>
        <v>0.19509043927648578</v>
      </c>
      <c r="D11" s="65">
        <f t="shared" si="9"/>
        <v>3.8918918918918917E-2</v>
      </c>
      <c r="E11" s="65">
        <f t="shared" si="9"/>
        <v>-7.9005202913631639E-2</v>
      </c>
      <c r="F11" s="65">
        <f t="shared" si="9"/>
        <v>-4.9918877022990117E-2</v>
      </c>
      <c r="G11" s="65">
        <f t="shared" si="9"/>
        <v>-0.25719531831598275</v>
      </c>
      <c r="H11" s="65">
        <f t="shared" si="9"/>
        <v>0.14958854983830169</v>
      </c>
      <c r="I11" s="65">
        <f t="shared" si="9"/>
        <v>7.8096972938043824E-2</v>
      </c>
      <c r="J11" s="65">
        <f t="shared" si="9"/>
        <v>9.9247675467038013E-2</v>
      </c>
      <c r="K11" s="65">
        <f>(K10-J10)/J10</f>
        <v>0.11518100039367071</v>
      </c>
      <c r="L11" s="65">
        <f>(L10-K10)/K10</f>
        <v>0.20184303146536281</v>
      </c>
      <c r="M11" s="91"/>
      <c r="N11" s="83">
        <f>AVERAGE($H$11:$L$11)</f>
        <v>0.1287914460204834</v>
      </c>
      <c r="O11" s="83">
        <f t="shared" ref="O11:R11" si="10">AVERAGE($H$11:$L$11)</f>
        <v>0.1287914460204834</v>
      </c>
      <c r="P11" s="83">
        <f t="shared" si="10"/>
        <v>0.1287914460204834</v>
      </c>
      <c r="Q11" s="83">
        <f t="shared" si="10"/>
        <v>0.1287914460204834</v>
      </c>
      <c r="R11" s="83">
        <f t="shared" si="10"/>
        <v>0.1287914460204834</v>
      </c>
      <c r="S11" s="124">
        <f>AVERAGE($H$11:$L$11)</f>
        <v>0.1287914460204834</v>
      </c>
      <c r="T11" s="83">
        <f>S11-(($S$11-$W$11)/4)</f>
        <v>0.10409358451536255</v>
      </c>
      <c r="U11" s="83">
        <f t="shared" ref="U11:V11" si="11">T11-(($S$11-$W$11)/4)</f>
        <v>7.9395723010241698E-2</v>
      </c>
      <c r="V11" s="83">
        <f t="shared" si="11"/>
        <v>5.4697861505120848E-2</v>
      </c>
      <c r="W11" s="83">
        <v>0.03</v>
      </c>
      <c r="X11" s="13"/>
      <c r="Y11" s="8" t="s">
        <v>129</v>
      </c>
      <c r="Z11" s="45">
        <f>'Income Statement'!B13</f>
        <v>41168</v>
      </c>
      <c r="AA11" s="11"/>
      <c r="AB11" s="11"/>
      <c r="AC11" s="10"/>
      <c r="AD11" s="10"/>
      <c r="AE11" s="11"/>
      <c r="AF11" s="11"/>
    </row>
    <row r="12" spans="1:38" x14ac:dyDescent="0.2">
      <c r="A12" s="88" t="s">
        <v>153</v>
      </c>
      <c r="B12" s="37">
        <v>2080000</v>
      </c>
      <c r="C12" s="37">
        <v>2180000</v>
      </c>
      <c r="D12" s="37">
        <v>2456000</v>
      </c>
      <c r="E12" s="37">
        <v>2535245</v>
      </c>
      <c r="F12" s="37">
        <v>2925721</v>
      </c>
      <c r="G12" s="37">
        <v>2835170</v>
      </c>
      <c r="H12" s="37">
        <v>3552838</v>
      </c>
      <c r="I12" s="37">
        <v>4321120</v>
      </c>
      <c r="J12" s="37">
        <v>5119181</v>
      </c>
      <c r="K12" s="37">
        <v>5727688</v>
      </c>
      <c r="L12" s="37">
        <v>6005243</v>
      </c>
      <c r="M12" s="17"/>
      <c r="N12" s="37">
        <f>N6*N13</f>
        <v>6813790.526339232</v>
      </c>
      <c r="O12" s="37">
        <f t="shared" ref="O12:W12" si="12">O6*O13</f>
        <v>7731201.1082366304</v>
      </c>
      <c r="P12" s="37">
        <f t="shared" si="12"/>
        <v>8585842.5780303627</v>
      </c>
      <c r="Q12" s="37">
        <f t="shared" si="12"/>
        <v>9534959.9296004772</v>
      </c>
      <c r="R12" s="37">
        <f t="shared" si="12"/>
        <v>10588996.948502544</v>
      </c>
      <c r="S12" s="112">
        <f t="shared" si="12"/>
        <v>11588339.405886471</v>
      </c>
      <c r="T12" s="37">
        <f t="shared" si="12"/>
        <v>12494972.308372982</v>
      </c>
      <c r="U12" s="37">
        <f t="shared" si="12"/>
        <v>13271256.970389625</v>
      </c>
      <c r="V12" s="37">
        <f t="shared" si="12"/>
        <v>13882383.44994466</v>
      </c>
      <c r="W12" s="37">
        <f t="shared" si="12"/>
        <v>14298854.953443</v>
      </c>
      <c r="X12" s="13"/>
      <c r="Y12" s="18" t="s">
        <v>130</v>
      </c>
      <c r="Z12" s="19">
        <f>Z11/Z4</f>
        <v>1.4273529758478896E-2</v>
      </c>
      <c r="AA12" s="10"/>
      <c r="AB12" s="10"/>
      <c r="AC12" s="10"/>
      <c r="AF12" s="10"/>
      <c r="AG12" s="68" t="s">
        <v>162</v>
      </c>
      <c r="AH12" s="61">
        <v>2.5000000000000001E-2</v>
      </c>
      <c r="AI12" s="61">
        <v>0.03</v>
      </c>
      <c r="AJ12" s="61">
        <v>3.5000000000000003E-2</v>
      </c>
    </row>
    <row r="13" spans="1:38" x14ac:dyDescent="0.2">
      <c r="A13" s="88" t="s">
        <v>150</v>
      </c>
      <c r="B13" s="37">
        <f t="shared" ref="B13:I13" si="13">B12/B6</f>
        <v>271.39874739039664</v>
      </c>
      <c r="C13" s="37">
        <f t="shared" si="13"/>
        <v>272.0239580733716</v>
      </c>
      <c r="D13" s="37">
        <f t="shared" si="13"/>
        <v>292.45058347225529</v>
      </c>
      <c r="E13" s="37">
        <f t="shared" si="13"/>
        <v>274.05091341476594</v>
      </c>
      <c r="F13" s="37">
        <f t="shared" si="13"/>
        <v>288.78896456420887</v>
      </c>
      <c r="G13" s="37">
        <f t="shared" si="13"/>
        <v>310.90799429762035</v>
      </c>
      <c r="H13" s="37">
        <f t="shared" si="13"/>
        <v>318.49735544598832</v>
      </c>
      <c r="I13" s="37">
        <f t="shared" si="13"/>
        <v>326.83760683760681</v>
      </c>
      <c r="J13" s="37">
        <f>J12/J6</f>
        <v>374.6747420039523</v>
      </c>
      <c r="K13" s="37">
        <f>K12/K6</f>
        <v>416.49854566608491</v>
      </c>
      <c r="L13" s="37">
        <f>L12/L6</f>
        <v>440.26708211143693</v>
      </c>
      <c r="M13" s="17"/>
      <c r="N13" s="37">
        <f>L13*(1+N14)</f>
        <v>497.05946268213421</v>
      </c>
      <c r="O13" s="37">
        <f t="shared" ref="O13:W13" si="14">N13*(1+O14)</f>
        <v>561.17779293641593</v>
      </c>
      <c r="P13" s="37">
        <f t="shared" si="14"/>
        <v>620.11232869325158</v>
      </c>
      <c r="Q13" s="37">
        <f t="shared" si="14"/>
        <v>685.23613200235354</v>
      </c>
      <c r="R13" s="37">
        <f t="shared" si="14"/>
        <v>757.19919581508032</v>
      </c>
      <c r="S13" s="112">
        <f t="shared" si="14"/>
        <v>825.35885428201323</v>
      </c>
      <c r="T13" s="37">
        <f t="shared" si="14"/>
        <v>887.27035845409148</v>
      </c>
      <c r="U13" s="37">
        <f t="shared" si="14"/>
        <v>940.51345294128851</v>
      </c>
      <c r="V13" s="37">
        <f t="shared" si="14"/>
        <v>982.84020102964053</v>
      </c>
      <c r="W13" s="37">
        <f t="shared" si="14"/>
        <v>1012.3254070605298</v>
      </c>
      <c r="X13" s="13"/>
      <c r="Y13" s="8" t="s">
        <v>111</v>
      </c>
      <c r="Z13" s="14">
        <f>W21</f>
        <v>0.23081524942173928</v>
      </c>
      <c r="AA13" s="10"/>
      <c r="AB13" s="10"/>
      <c r="AC13" s="10"/>
      <c r="AF13" s="10"/>
      <c r="AG13" s="75">
        <v>7.0000000000000007E-2</v>
      </c>
      <c r="AH13" s="59">
        <v>283.05698705120091</v>
      </c>
      <c r="AI13" s="59">
        <v>310.86480672621724</v>
      </c>
      <c r="AJ13" s="77">
        <v>346.61771773695261</v>
      </c>
    </row>
    <row r="14" spans="1:38" x14ac:dyDescent="0.2">
      <c r="A14" s="86" t="s">
        <v>157</v>
      </c>
      <c r="B14" s="97"/>
      <c r="C14" s="65">
        <f t="shared" ref="C14:J14" si="15">(C13-B13)/B13</f>
        <v>2.3036609011154534E-3</v>
      </c>
      <c r="D14" s="65">
        <f t="shared" si="15"/>
        <v>7.5091273370024705E-2</v>
      </c>
      <c r="E14" s="65">
        <f t="shared" si="15"/>
        <v>-6.2915484178662676E-2</v>
      </c>
      <c r="F14" s="65">
        <f t="shared" si="15"/>
        <v>5.3778514969360557E-2</v>
      </c>
      <c r="G14" s="65">
        <f t="shared" si="15"/>
        <v>7.6592364832187246E-2</v>
      </c>
      <c r="H14" s="65">
        <f t="shared" si="15"/>
        <v>2.4410312013730225E-2</v>
      </c>
      <c r="I14" s="65">
        <f t="shared" si="15"/>
        <v>2.6186250055168378E-2</v>
      </c>
      <c r="J14" s="65">
        <f t="shared" si="15"/>
        <v>0.14636361962506336</v>
      </c>
      <c r="K14" s="65">
        <f>(K13-J13)/J13</f>
        <v>0.11162696326535783</v>
      </c>
      <c r="L14" s="65">
        <f>(L13-K13)/K13</f>
        <v>5.7067513662839367E-2</v>
      </c>
      <c r="M14" s="92"/>
      <c r="N14" s="65">
        <f>AVERAGE($J$14:$K$14)</f>
        <v>0.1289952914452106</v>
      </c>
      <c r="O14" s="65">
        <f t="shared" ref="O14" si="16">AVERAGE($J$14:$K$14)</f>
        <v>0.1289952914452106</v>
      </c>
      <c r="P14" s="65">
        <f>AVERAGE($J$14:$L$14)</f>
        <v>0.10501936551775352</v>
      </c>
      <c r="Q14" s="65">
        <f>AVERAGE($J$14:$L$14)</f>
        <v>0.10501936551775352</v>
      </c>
      <c r="R14" s="65">
        <f>AVERAGE($J$14:$L$14)</f>
        <v>0.10501936551775352</v>
      </c>
      <c r="S14" s="98">
        <f>R14-(($R$14-$W$14)/5)</f>
        <v>9.0015492414202813E-2</v>
      </c>
      <c r="T14" s="65">
        <f t="shared" ref="T14:V14" si="17">S14-(($R$14-$W$14)/5)</f>
        <v>7.5011619310652103E-2</v>
      </c>
      <c r="U14" s="65">
        <f t="shared" si="17"/>
        <v>6.0007746207101399E-2</v>
      </c>
      <c r="V14" s="65">
        <f t="shared" si="17"/>
        <v>4.5003873103550696E-2</v>
      </c>
      <c r="W14" s="65">
        <v>0.03</v>
      </c>
      <c r="X14" s="13"/>
      <c r="Y14" s="18" t="s">
        <v>132</v>
      </c>
      <c r="Z14" s="19">
        <f>Z12*(1-Z13)</f>
        <v>1.0978981427146973E-2</v>
      </c>
      <c r="AA14" s="10"/>
      <c r="AB14" s="10"/>
      <c r="AC14" s="10"/>
      <c r="AF14" s="10"/>
      <c r="AG14" s="75">
        <v>0.08</v>
      </c>
      <c r="AH14" s="59">
        <v>225.0287963885971</v>
      </c>
      <c r="AI14" s="59">
        <v>241.76846859949393</v>
      </c>
      <c r="AJ14" s="59">
        <v>262.22806796836784</v>
      </c>
    </row>
    <row r="15" spans="1:38" x14ac:dyDescent="0.2">
      <c r="A15" s="88" t="s">
        <v>151</v>
      </c>
      <c r="B15" s="37">
        <v>562000</v>
      </c>
      <c r="C15" s="37">
        <v>614000</v>
      </c>
      <c r="D15" s="37">
        <v>657000</v>
      </c>
      <c r="E15" s="37">
        <v>643038</v>
      </c>
      <c r="F15" s="37">
        <v>699211</v>
      </c>
      <c r="G15" s="37">
        <v>707385</v>
      </c>
      <c r="H15" s="37">
        <v>768104</v>
      </c>
      <c r="I15" s="37">
        <v>775572</v>
      </c>
      <c r="J15" s="37">
        <v>538903</v>
      </c>
      <c r="K15" s="37">
        <v>563311</v>
      </c>
      <c r="L15" s="37">
        <v>592690</v>
      </c>
      <c r="M15" s="17"/>
      <c r="N15" s="37">
        <f>N4*N16</f>
        <v>1488505.471887676</v>
      </c>
      <c r="O15" s="37">
        <f t="shared" ref="O15:R15" si="18">O4*O16</f>
        <v>1687534.7201794733</v>
      </c>
      <c r="P15" s="37">
        <f t="shared" si="18"/>
        <v>1878954.5272612183</v>
      </c>
      <c r="Q15" s="37">
        <f t="shared" si="18"/>
        <v>2092162.2302335142</v>
      </c>
      <c r="R15" s="37">
        <f t="shared" si="18"/>
        <v>2329647.1764806248</v>
      </c>
      <c r="S15" s="112">
        <f t="shared" ref="S15" si="19">S4*S16</f>
        <v>2289689.20731381</v>
      </c>
      <c r="T15" s="37">
        <f t="shared" ref="T15" si="20">T4*T16</f>
        <v>2183249.1393924574</v>
      </c>
      <c r="U15" s="37">
        <f t="shared" ref="U15" si="21">U4*U16</f>
        <v>2010555.8055102641</v>
      </c>
      <c r="V15" s="37">
        <f t="shared" ref="V15" si="22">V4*V16</f>
        <v>1776368.312226932</v>
      </c>
      <c r="W15" s="37">
        <f t="shared" ref="W15" si="23">W4*W16</f>
        <v>1489953.5861984789</v>
      </c>
      <c r="X15" s="13"/>
      <c r="Y15" s="23" t="s">
        <v>134</v>
      </c>
      <c r="Z15" s="24">
        <v>0.03</v>
      </c>
      <c r="AA15" s="10"/>
      <c r="AB15" s="10"/>
      <c r="AC15" s="10"/>
      <c r="AF15" s="10"/>
      <c r="AG15" s="75">
        <v>8.2870811226037996E-2</v>
      </c>
      <c r="AH15" s="59">
        <v>212.14874679538016</v>
      </c>
      <c r="AI15" s="60">
        <v>226.83895906283701</v>
      </c>
      <c r="AJ15" s="59">
        <v>244.5978914733663</v>
      </c>
      <c r="AL15" s="2"/>
    </row>
    <row r="16" spans="1:38" ht="16" thickBot="1" x14ac:dyDescent="0.25">
      <c r="A16" s="89" t="s">
        <v>158</v>
      </c>
      <c r="B16" s="65">
        <f t="shared" ref="B16:I16" si="24">B15/B4</f>
        <v>0.19691660826909602</v>
      </c>
      <c r="C16" s="65">
        <f t="shared" si="24"/>
        <v>0.19774557165861514</v>
      </c>
      <c r="D16" s="65">
        <f t="shared" si="24"/>
        <v>0.19227392449517119</v>
      </c>
      <c r="E16" s="65">
        <f t="shared" si="24"/>
        <v>0.18800516091910671</v>
      </c>
      <c r="F16" s="65">
        <f t="shared" si="24"/>
        <v>0.18563378524218696</v>
      </c>
      <c r="G16" s="65">
        <f t="shared" si="24"/>
        <v>0.20445894114960736</v>
      </c>
      <c r="H16" s="65">
        <f t="shared" si="24"/>
        <v>0.17984618677026404</v>
      </c>
      <c r="I16" s="65">
        <f t="shared" si="24"/>
        <v>0.15221459028342846</v>
      </c>
      <c r="J16" s="65">
        <f>J15/J4</f>
        <v>9.0266301695134429E-2</v>
      </c>
      <c r="K16" s="65">
        <f>K15/K4</f>
        <v>8.4370078008970936E-2</v>
      </c>
      <c r="L16" s="65">
        <f>L15/L4</f>
        <v>8.2942799150490187E-2</v>
      </c>
      <c r="M16" s="93"/>
      <c r="N16" s="65">
        <f>AVERAGE($D$16:$I$16)</f>
        <v>0.18373876480996079</v>
      </c>
      <c r="O16" s="65">
        <f t="shared" ref="O16:R16" si="25">AVERAGE($D$16:$I$16)</f>
        <v>0.18373876480996079</v>
      </c>
      <c r="P16" s="65">
        <f t="shared" si="25"/>
        <v>0.18373876480996079</v>
      </c>
      <c r="Q16" s="65">
        <f t="shared" si="25"/>
        <v>0.18373876480996079</v>
      </c>
      <c r="R16" s="65">
        <f t="shared" si="25"/>
        <v>0.18373876480996079</v>
      </c>
      <c r="S16" s="98">
        <f>R16-(($R$16-$W$16)/5)</f>
        <v>0.16416295710494166</v>
      </c>
      <c r="T16" s="125">
        <f t="shared" ref="T16:V16" si="26">S16-(($R$16-$W$16)/5)</f>
        <v>0.14458714939992254</v>
      </c>
      <c r="U16" s="125">
        <f t="shared" si="26"/>
        <v>0.12501134169490341</v>
      </c>
      <c r="V16" s="125">
        <f t="shared" si="26"/>
        <v>0.10543553398988428</v>
      </c>
      <c r="W16" s="125">
        <f>AVERAGE($J$16:$L$16)</f>
        <v>8.5859726284865198E-2</v>
      </c>
      <c r="X16" s="13"/>
      <c r="Y16" s="25" t="s">
        <v>117</v>
      </c>
      <c r="Z16" s="26">
        <f>Z5*Z10+Z6*Z14</f>
        <v>8.2870811226037969E-2</v>
      </c>
      <c r="AA16" s="10"/>
      <c r="AB16" s="10"/>
      <c r="AC16" s="10"/>
      <c r="AF16" s="10"/>
      <c r="AG16" s="75">
        <v>0.09</v>
      </c>
      <c r="AH16" s="76">
        <v>185.20018307097106</v>
      </c>
      <c r="AI16" s="59">
        <v>196.06419801401009</v>
      </c>
      <c r="AJ16" s="59">
        <v>208.90348840123798</v>
      </c>
    </row>
    <row r="17" spans="1:36" x14ac:dyDescent="0.2">
      <c r="A17" s="10" t="s">
        <v>122</v>
      </c>
      <c r="B17" s="37">
        <v>290000</v>
      </c>
      <c r="C17" s="37">
        <v>400000</v>
      </c>
      <c r="D17" s="37">
        <v>746000</v>
      </c>
      <c r="E17" s="37">
        <v>802944</v>
      </c>
      <c r="F17" s="37">
        <v>875364</v>
      </c>
      <c r="G17" s="37">
        <v>667035</v>
      </c>
      <c r="H17" s="37">
        <v>1042231</v>
      </c>
      <c r="I17" s="37">
        <v>1177766</v>
      </c>
      <c r="J17" s="37">
        <f>'Income Statement'!D12</f>
        <v>1602354</v>
      </c>
      <c r="K17" s="37">
        <f>'Income Statement'!C12</f>
        <v>1888956</v>
      </c>
      <c r="L17" s="37">
        <f>'Income Statement'!B12</f>
        <v>2063635</v>
      </c>
      <c r="M17" s="13"/>
      <c r="N17" s="80"/>
      <c r="O17" s="80"/>
      <c r="P17" s="80"/>
      <c r="Q17" s="80"/>
      <c r="R17" s="80"/>
      <c r="S17" s="135"/>
      <c r="T17" s="80"/>
      <c r="U17" s="80"/>
      <c r="V17" s="80"/>
      <c r="W17" s="80"/>
      <c r="X17" s="13"/>
      <c r="Y17" s="10"/>
      <c r="Z17" s="10"/>
      <c r="AA17" s="10"/>
      <c r="AB17" s="10"/>
      <c r="AC17" s="10"/>
      <c r="AF17" s="10"/>
      <c r="AG17" s="56"/>
      <c r="AH17" s="58"/>
      <c r="AI17" s="56"/>
      <c r="AJ17" s="58"/>
    </row>
    <row r="18" spans="1:36" x14ac:dyDescent="0.2">
      <c r="A18" s="10" t="s">
        <v>105</v>
      </c>
      <c r="B18" s="37">
        <v>444000</v>
      </c>
      <c r="C18" s="37">
        <v>595000</v>
      </c>
      <c r="D18" s="37">
        <v>775000</v>
      </c>
      <c r="E18" s="37">
        <v>826507</v>
      </c>
      <c r="F18" s="37">
        <v>917446</v>
      </c>
      <c r="G18" s="37">
        <v>716127</v>
      </c>
      <c r="H18" s="37">
        <v>1075488</v>
      </c>
      <c r="I18" s="37">
        <v>1227382</v>
      </c>
      <c r="J18" s="37">
        <f>'Income Statement'!D8</f>
        <v>1617369</v>
      </c>
      <c r="K18" s="37">
        <f>'Income Statement'!C8</f>
        <v>1887751</v>
      </c>
      <c r="L18" s="37">
        <f>'Income Statement'!B8</f>
        <v>2109716</v>
      </c>
      <c r="M18" s="10"/>
      <c r="N18" s="37">
        <f>N4*N19</f>
        <v>1965758.3929403734</v>
      </c>
      <c r="O18" s="37">
        <f t="shared" ref="O18:W18" si="27">O4*O19</f>
        <v>2142086.2442003312</v>
      </c>
      <c r="P18" s="37">
        <f t="shared" si="27"/>
        <v>2385066.569709532</v>
      </c>
      <c r="Q18" s="37">
        <f t="shared" si="27"/>
        <v>2655703.5422311602</v>
      </c>
      <c r="R18" s="37">
        <f t="shared" si="27"/>
        <v>2957157.0355889071</v>
      </c>
      <c r="S18" s="112">
        <f t="shared" si="27"/>
        <v>3347438.5418388178</v>
      </c>
      <c r="T18" s="37">
        <f t="shared" si="27"/>
        <v>3774970.9231656436</v>
      </c>
      <c r="U18" s="37">
        <f t="shared" si="27"/>
        <v>4101161.7302401871</v>
      </c>
      <c r="V18" s="37">
        <f t="shared" si="27"/>
        <v>4380456.4144694693</v>
      </c>
      <c r="W18" s="37">
        <f t="shared" si="27"/>
        <v>4511870.106903553</v>
      </c>
      <c r="X18" s="13"/>
      <c r="Y18" s="10"/>
      <c r="Z18" s="10"/>
      <c r="AA18" s="10"/>
      <c r="AB18" s="10"/>
      <c r="AC18" s="10"/>
      <c r="AD18" s="3"/>
      <c r="AE18" s="84"/>
      <c r="AF18" s="10"/>
      <c r="AG18" s="57"/>
      <c r="AH18" s="58"/>
      <c r="AI18" s="58"/>
      <c r="AJ18" s="58"/>
    </row>
    <row r="19" spans="1:36" x14ac:dyDescent="0.2">
      <c r="A19" s="64" t="s">
        <v>107</v>
      </c>
      <c r="B19" s="12">
        <f t="shared" ref="B19:I19" si="28">B18/B4</f>
        <v>0.15557112824106517</v>
      </c>
      <c r="C19" s="12">
        <f t="shared" si="28"/>
        <v>0.19162640901771336</v>
      </c>
      <c r="D19" s="12">
        <f t="shared" si="28"/>
        <v>0.22680714076675446</v>
      </c>
      <c r="E19" s="12">
        <f t="shared" si="28"/>
        <v>0.24164603263845702</v>
      </c>
      <c r="F19" s="12">
        <f t="shared" si="28"/>
        <v>0.243573075559886</v>
      </c>
      <c r="G19" s="12">
        <f t="shared" si="28"/>
        <v>0.2069856841022143</v>
      </c>
      <c r="H19" s="12">
        <f t="shared" si="28"/>
        <v>0.25181800344377547</v>
      </c>
      <c r="I19" s="12">
        <f t="shared" si="28"/>
        <v>0.2408873041461721</v>
      </c>
      <c r="J19" s="12">
        <f>J18/J4</f>
        <v>0.27090945514565307</v>
      </c>
      <c r="K19" s="12">
        <f>K18/K4</f>
        <v>0.28273848572371729</v>
      </c>
      <c r="L19" s="12">
        <f>L18/L4</f>
        <v>0.29523992382624231</v>
      </c>
      <c r="M19" s="11"/>
      <c r="N19" s="12">
        <f>AVERAGE($G$19:$J$19)</f>
        <v>0.24265011170945372</v>
      </c>
      <c r="O19" s="12">
        <f t="shared" ref="O19:R19" si="29">AVERAGE($G$19:$I$19)</f>
        <v>0.23323033056405396</v>
      </c>
      <c r="P19" s="12">
        <f t="shared" si="29"/>
        <v>0.23323033056405396</v>
      </c>
      <c r="Q19" s="12">
        <f t="shared" si="29"/>
        <v>0.23323033056405396</v>
      </c>
      <c r="R19" s="12">
        <f t="shared" si="29"/>
        <v>0.23323033056405396</v>
      </c>
      <c r="S19" s="99">
        <v>0.24</v>
      </c>
      <c r="T19" s="12">
        <v>0.25</v>
      </c>
      <c r="U19" s="12">
        <v>0.255</v>
      </c>
      <c r="V19" s="12">
        <v>0.26</v>
      </c>
      <c r="W19" s="12">
        <v>0.26</v>
      </c>
      <c r="X19" s="10"/>
      <c r="Y19" s="10"/>
      <c r="Z19" s="10"/>
      <c r="AA19" s="10"/>
      <c r="AB19" s="10"/>
      <c r="AC19" s="10"/>
      <c r="AE19" s="10"/>
      <c r="AF19" s="10"/>
    </row>
    <row r="20" spans="1:36" x14ac:dyDescent="0.2">
      <c r="A20" s="10" t="s">
        <v>128</v>
      </c>
      <c r="B20" s="37">
        <v>144000</v>
      </c>
      <c r="C20" s="37">
        <v>167000</v>
      </c>
      <c r="D20" s="37">
        <v>209000</v>
      </c>
      <c r="E20" s="37">
        <v>16317</v>
      </c>
      <c r="F20" s="37">
        <v>176656</v>
      </c>
      <c r="G20" s="37">
        <v>58155</v>
      </c>
      <c r="H20" s="37">
        <v>209095</v>
      </c>
      <c r="I20" s="37">
        <v>238472</v>
      </c>
      <c r="J20" s="37">
        <f>'Income Statement'!D14</f>
        <v>344897</v>
      </c>
      <c r="K20" s="37">
        <f>'Income Statement'!C14</f>
        <v>363043</v>
      </c>
      <c r="L20" s="37">
        <f>'Income Statement'!B14</f>
        <v>464119</v>
      </c>
      <c r="M20" s="11"/>
      <c r="N20" s="37">
        <f>N21*N4</f>
        <v>1869881.7427815439</v>
      </c>
      <c r="O20" s="37">
        <f t="shared" ref="O20:W20" si="30">O21*O4</f>
        <v>2119905.1150089921</v>
      </c>
      <c r="P20" s="37">
        <f t="shared" si="30"/>
        <v>2360369.3989696028</v>
      </c>
      <c r="Q20" s="37">
        <f t="shared" si="30"/>
        <v>2628203.9476076411</v>
      </c>
      <c r="R20" s="37">
        <f t="shared" si="30"/>
        <v>2926535.9145098352</v>
      </c>
      <c r="S20" s="112">
        <f t="shared" si="30"/>
        <v>3219332.7581602917</v>
      </c>
      <c r="T20" s="37">
        <f t="shared" si="30"/>
        <v>3485283.4207611657</v>
      </c>
      <c r="U20" s="37">
        <f t="shared" si="30"/>
        <v>3712198.6968011004</v>
      </c>
      <c r="V20" s="37">
        <f t="shared" si="30"/>
        <v>3888754.3841801086</v>
      </c>
      <c r="W20" s="37">
        <f t="shared" si="30"/>
        <v>4005417.0157055119</v>
      </c>
      <c r="X20" s="11"/>
      <c r="Y20" s="11"/>
      <c r="Z20" s="11"/>
      <c r="AA20" s="11"/>
      <c r="AB20" s="11"/>
      <c r="AE20" s="10"/>
      <c r="AF20" s="11"/>
    </row>
    <row r="21" spans="1:36" x14ac:dyDescent="0.2">
      <c r="A21" s="110" t="s">
        <v>111</v>
      </c>
      <c r="B21" s="83">
        <f t="shared" ref="B21:I21" si="31">B20/B17</f>
        <v>0.49655172413793103</v>
      </c>
      <c r="C21" s="83">
        <f t="shared" si="31"/>
        <v>0.41749999999999998</v>
      </c>
      <c r="D21" s="83">
        <f t="shared" si="31"/>
        <v>0.28016085790884721</v>
      </c>
      <c r="E21" s="83">
        <f t="shared" si="31"/>
        <v>2.032146700143472E-2</v>
      </c>
      <c r="F21" s="83">
        <f t="shared" si="31"/>
        <v>0.20180861904304953</v>
      </c>
      <c r="G21" s="83">
        <f t="shared" si="31"/>
        <v>8.7184330657311834E-2</v>
      </c>
      <c r="H21" s="83">
        <f t="shared" si="31"/>
        <v>0.20062251074857684</v>
      </c>
      <c r="I21" s="83">
        <f t="shared" si="31"/>
        <v>0.20247825119760632</v>
      </c>
      <c r="J21" s="83">
        <f>J20/J17</f>
        <v>0.21524394734247237</v>
      </c>
      <c r="K21" s="83">
        <f>K20/K17</f>
        <v>0.19219240681095801</v>
      </c>
      <c r="L21" s="83">
        <f>L20/L17</f>
        <v>0.22490362879094414</v>
      </c>
      <c r="M21" s="84"/>
      <c r="N21" s="83">
        <f>AVERAGE($B$21:$L$21)</f>
        <v>0.23081524942173928</v>
      </c>
      <c r="O21" s="83">
        <f t="shared" ref="O21:W21" si="32">AVERAGE($B$21:$L$21)</f>
        <v>0.23081524942173928</v>
      </c>
      <c r="P21" s="83">
        <f t="shared" si="32"/>
        <v>0.23081524942173928</v>
      </c>
      <c r="Q21" s="83">
        <f t="shared" si="32"/>
        <v>0.23081524942173928</v>
      </c>
      <c r="R21" s="83">
        <f t="shared" si="32"/>
        <v>0.23081524942173928</v>
      </c>
      <c r="S21" s="105">
        <f t="shared" si="32"/>
        <v>0.23081524942173928</v>
      </c>
      <c r="T21" s="83">
        <f t="shared" si="32"/>
        <v>0.23081524942173928</v>
      </c>
      <c r="U21" s="83">
        <f t="shared" si="32"/>
        <v>0.23081524942173928</v>
      </c>
      <c r="V21" s="83">
        <f t="shared" si="32"/>
        <v>0.23081524942173928</v>
      </c>
      <c r="W21" s="83">
        <f t="shared" si="32"/>
        <v>0.23081524942173928</v>
      </c>
      <c r="X21" s="11"/>
      <c r="Y21" s="11"/>
      <c r="Z21" s="11"/>
      <c r="AA21" s="11"/>
      <c r="AB21" s="11"/>
      <c r="AE21" s="10"/>
      <c r="AF21" s="11"/>
    </row>
    <row r="22" spans="1:36" x14ac:dyDescent="0.2">
      <c r="A22" s="22" t="s">
        <v>112</v>
      </c>
      <c r="B22" s="41">
        <f t="shared" ref="B22:I22" si="33">B18*(1-B21)</f>
        <v>223531.03448275864</v>
      </c>
      <c r="C22" s="41">
        <f t="shared" si="33"/>
        <v>346587.5</v>
      </c>
      <c r="D22" s="41">
        <f t="shared" si="33"/>
        <v>557875.33512064337</v>
      </c>
      <c r="E22" s="41">
        <f t="shared" si="33"/>
        <v>809711.16527304519</v>
      </c>
      <c r="F22" s="41">
        <f t="shared" si="33"/>
        <v>732297.48969343049</v>
      </c>
      <c r="G22" s="41">
        <f t="shared" si="33"/>
        <v>653691.94683937123</v>
      </c>
      <c r="H22" s="41">
        <f t="shared" si="33"/>
        <v>859720.89716003463</v>
      </c>
      <c r="I22" s="41">
        <f t="shared" si="33"/>
        <v>978863.83908857952</v>
      </c>
      <c r="J22" s="41">
        <f>J18*(1-J21)</f>
        <v>1269240.1121306529</v>
      </c>
      <c r="K22" s="41">
        <f>K18*(1-K21)</f>
        <v>1524939.5918502074</v>
      </c>
      <c r="L22" s="41">
        <f>L18*(1-L21)</f>
        <v>1635233.2158816843</v>
      </c>
      <c r="M22" s="41"/>
      <c r="N22" s="41">
        <f t="shared" ref="N22:R22" si="34">N18*(1-N21)</f>
        <v>1512031.3791709638</v>
      </c>
      <c r="O22" s="41">
        <f t="shared" si="34"/>
        <v>1647660.073462355</v>
      </c>
      <c r="P22" s="41">
        <f t="shared" si="34"/>
        <v>1834556.8345345743</v>
      </c>
      <c r="Q22" s="41">
        <f t="shared" si="34"/>
        <v>2042726.6667408785</v>
      </c>
      <c r="R22" s="41">
        <f t="shared" si="34"/>
        <v>2274600.0968402023</v>
      </c>
      <c r="S22" s="129">
        <f t="shared" ref="S22" si="35">S18*(1-S21)</f>
        <v>2574798.679880348</v>
      </c>
      <c r="T22" s="41">
        <f t="shared" ref="T22" si="36">T18*(1-T21)</f>
        <v>2903650.0679753521</v>
      </c>
      <c r="U22" s="41">
        <f t="shared" ref="U22" si="37">U18*(1-U21)</f>
        <v>3154551.0625559068</v>
      </c>
      <c r="V22" s="41">
        <f t="shared" ref="V22" si="38">V18*(1-V21)</f>
        <v>3369380.2745826412</v>
      </c>
      <c r="W22" s="41">
        <f>W18*(1-W21)</f>
        <v>3470461.6828201199</v>
      </c>
      <c r="X22" s="11"/>
      <c r="Y22" s="10"/>
      <c r="Z22" s="10"/>
      <c r="AA22" s="10"/>
      <c r="AB22" s="10"/>
      <c r="AE22" s="10"/>
      <c r="AF22" s="10"/>
    </row>
    <row r="23" spans="1:36" x14ac:dyDescent="0.2">
      <c r="A23" s="10" t="s">
        <v>133</v>
      </c>
      <c r="B23" s="81"/>
      <c r="C23" s="37">
        <f>'Balance Sheet'!K32</f>
        <v>877883</v>
      </c>
      <c r="D23" s="37">
        <f>'Balance Sheet'!J32</f>
        <v>762941</v>
      </c>
      <c r="E23" s="37">
        <f>'Balance Sheet'!I32</f>
        <v>1040210</v>
      </c>
      <c r="F23" s="37">
        <f>'Balance Sheet'!H32</f>
        <v>1154328</v>
      </c>
      <c r="G23" s="37">
        <f>'Balance Sheet'!G32</f>
        <v>1522542</v>
      </c>
      <c r="H23" s="37">
        <f>'Balance Sheet'!F32</f>
        <v>1715926</v>
      </c>
      <c r="I23" s="37">
        <f>'Balance Sheet'!E32</f>
        <v>1927970</v>
      </c>
      <c r="J23" s="37">
        <f>'Balance Sheet'!D32</f>
        <v>2303839</v>
      </c>
      <c r="K23" s="37">
        <f>'Balance Sheet'!C32</f>
        <v>2875748</v>
      </c>
      <c r="L23" s="37">
        <f>'Balance Sheet'!B32</f>
        <v>3123706</v>
      </c>
      <c r="M23" s="10"/>
      <c r="N23" s="104">
        <f>N4*N24</f>
        <v>3645542.425640285</v>
      </c>
      <c r="O23" s="104">
        <f t="shared" ref="O23:W23" si="39">O4*O24</f>
        <v>4132990.7973757922</v>
      </c>
      <c r="P23" s="104">
        <f t="shared" si="39"/>
        <v>4601802.6633741185</v>
      </c>
      <c r="Q23" s="104">
        <f t="shared" si="39"/>
        <v>5123975.9044795893</v>
      </c>
      <c r="R23" s="104">
        <f t="shared" si="39"/>
        <v>5705607.2544112848</v>
      </c>
      <c r="S23" s="108">
        <f t="shared" si="39"/>
        <v>6136970.6600378333</v>
      </c>
      <c r="T23" s="104">
        <f t="shared" si="39"/>
        <v>6492949.9878449067</v>
      </c>
      <c r="U23" s="104">
        <f t="shared" si="39"/>
        <v>6754854.6145132491</v>
      </c>
      <c r="V23" s="104">
        <f t="shared" si="39"/>
        <v>6907642.8074326236</v>
      </c>
      <c r="W23" s="104">
        <f t="shared" si="39"/>
        <v>6941338.626005467</v>
      </c>
      <c r="X23" s="10"/>
      <c r="Y23" s="10"/>
      <c r="Z23" s="10"/>
      <c r="AA23" s="10"/>
      <c r="AB23" s="10"/>
      <c r="AE23" s="10"/>
      <c r="AF23" s="10"/>
    </row>
    <row r="24" spans="1:36" s="3" customFormat="1" x14ac:dyDescent="0.2">
      <c r="A24" s="110" t="s">
        <v>179</v>
      </c>
      <c r="B24" s="131"/>
      <c r="C24" s="65">
        <f>C23/C4</f>
        <v>0.28273204508856681</v>
      </c>
      <c r="D24" s="65">
        <f t="shared" ref="D24:L24" si="40">D23/D4</f>
        <v>0.22327802165642377</v>
      </c>
      <c r="E24" s="65">
        <f t="shared" si="40"/>
        <v>0.30412642556064184</v>
      </c>
      <c r="F24" s="65">
        <f t="shared" si="40"/>
        <v>0.30646296475748119</v>
      </c>
      <c r="G24" s="65">
        <f t="shared" si="40"/>
        <v>0.44006774977672053</v>
      </c>
      <c r="H24" s="65">
        <f t="shared" si="40"/>
        <v>0.40177208799843778</v>
      </c>
      <c r="I24" s="65">
        <f t="shared" si="40"/>
        <v>0.37838545438559096</v>
      </c>
      <c r="J24" s="65">
        <f t="shared" si="40"/>
        <v>0.38589324281181731</v>
      </c>
      <c r="K24" s="65">
        <f t="shared" si="40"/>
        <v>0.43071603979709638</v>
      </c>
      <c r="L24" s="65">
        <f t="shared" si="40"/>
        <v>0.43714069642339354</v>
      </c>
      <c r="M24" s="132"/>
      <c r="N24" s="97">
        <v>0.45</v>
      </c>
      <c r="O24" s="97">
        <v>0.45</v>
      </c>
      <c r="P24" s="97">
        <v>0.45</v>
      </c>
      <c r="Q24" s="97">
        <v>0.45</v>
      </c>
      <c r="R24" s="97">
        <v>0.45</v>
      </c>
      <c r="S24" s="133">
        <v>0.44</v>
      </c>
      <c r="T24" s="97">
        <v>0.43</v>
      </c>
      <c r="U24" s="97">
        <v>0.42</v>
      </c>
      <c r="V24" s="97">
        <v>0.41</v>
      </c>
      <c r="W24" s="97">
        <v>0.4</v>
      </c>
      <c r="X24" s="84"/>
      <c r="Y24" s="84"/>
      <c r="Z24" s="84"/>
      <c r="AA24" s="84"/>
      <c r="AB24" s="84"/>
      <c r="AD24"/>
      <c r="AE24" s="10"/>
      <c r="AF24" s="84"/>
      <c r="AG24"/>
      <c r="AH24"/>
      <c r="AI24"/>
      <c r="AJ24"/>
    </row>
    <row r="25" spans="1:36" x14ac:dyDescent="0.2">
      <c r="A25" s="64" t="s">
        <v>135</v>
      </c>
      <c r="B25" s="63"/>
      <c r="C25" s="63"/>
      <c r="D25" s="12">
        <f t="shared" ref="D25:K25" si="41">D22/((D23+C23)/2)</f>
        <v>0.67999411895565076</v>
      </c>
      <c r="E25" s="12">
        <f t="shared" si="41"/>
        <v>0.89810688652591508</v>
      </c>
      <c r="F25" s="12">
        <f t="shared" si="41"/>
        <v>0.66738191791933477</v>
      </c>
      <c r="G25" s="12">
        <f t="shared" si="41"/>
        <v>0.48840021879237411</v>
      </c>
      <c r="H25" s="12">
        <f t="shared" si="41"/>
        <v>0.53094296263544039</v>
      </c>
      <c r="I25" s="12">
        <f t="shared" si="41"/>
        <v>0.53726222652269962</v>
      </c>
      <c r="J25" s="12">
        <f t="shared" si="41"/>
        <v>0.59985699360753419</v>
      </c>
      <c r="K25" s="12">
        <f t="shared" si="41"/>
        <v>0.58882671218775062</v>
      </c>
      <c r="L25" s="12">
        <f>L22/((L23+K23)/2)</f>
        <v>0.54512734521564277</v>
      </c>
      <c r="M25" s="12"/>
      <c r="N25" s="12">
        <f>N22/((N23+L23)/2)</f>
        <v>0.44673537861123624</v>
      </c>
      <c r="O25" s="12">
        <f>O22/((O23+N23)/2)</f>
        <v>0.42364287102022175</v>
      </c>
      <c r="P25" s="12">
        <f t="shared" ref="P25:R25" si="42">P22/((P23+O23)/2)</f>
        <v>0.42005728991262753</v>
      </c>
      <c r="Q25" s="12">
        <f t="shared" si="42"/>
        <v>0.4200643994698039</v>
      </c>
      <c r="R25" s="12">
        <f t="shared" si="42"/>
        <v>0.42007158788430388</v>
      </c>
      <c r="S25" s="99">
        <f>S22/((S23+R23)/2)</f>
        <v>0.43483753258466445</v>
      </c>
      <c r="T25" s="12">
        <f>T22/((T23+S23)/2)</f>
        <v>0.459804958230219</v>
      </c>
      <c r="U25" s="12">
        <f t="shared" ref="U25:V25" si="43">U22/((U23+T23)/2)</f>
        <v>0.47623755893778597</v>
      </c>
      <c r="V25" s="12">
        <f t="shared" si="43"/>
        <v>0.49323050837988874</v>
      </c>
      <c r="W25" s="12">
        <f>W22/((W23+V23)/2)</f>
        <v>0.50118656010914409</v>
      </c>
      <c r="X25" s="10"/>
      <c r="Y25" s="10"/>
      <c r="Z25" s="10"/>
      <c r="AA25" s="10"/>
      <c r="AB25" s="10"/>
      <c r="AF25" s="10"/>
    </row>
    <row r="26" spans="1:36" x14ac:dyDescent="0.2">
      <c r="A26" s="10" t="s">
        <v>137</v>
      </c>
      <c r="B26" s="114"/>
      <c r="C26" s="113">
        <f>C23-B23</f>
        <v>877883</v>
      </c>
      <c r="D26" s="42">
        <f t="shared" ref="D26:K26" si="44">D23-C23</f>
        <v>-114942</v>
      </c>
      <c r="E26" s="113">
        <f t="shared" si="44"/>
        <v>277269</v>
      </c>
      <c r="F26" s="113">
        <f t="shared" si="44"/>
        <v>114118</v>
      </c>
      <c r="G26" s="113">
        <f t="shared" si="44"/>
        <v>368214</v>
      </c>
      <c r="H26" s="113">
        <f t="shared" si="44"/>
        <v>193384</v>
      </c>
      <c r="I26" s="113">
        <f t="shared" si="44"/>
        <v>212044</v>
      </c>
      <c r="J26" s="113">
        <f t="shared" si="44"/>
        <v>375869</v>
      </c>
      <c r="K26" s="113">
        <f t="shared" si="44"/>
        <v>571909</v>
      </c>
      <c r="L26" s="113">
        <f>L23-K23</f>
        <v>247958</v>
      </c>
      <c r="M26" s="10"/>
      <c r="N26" s="113">
        <f>N22*N27</f>
        <v>452547.09152085788</v>
      </c>
      <c r="O26" s="113">
        <f t="shared" ref="O26:W26" si="45">O22*O27</f>
        <v>520036.92610761366</v>
      </c>
      <c r="P26" s="113">
        <f t="shared" si="45"/>
        <v>495400.91210028972</v>
      </c>
      <c r="Q26" s="113">
        <f t="shared" si="45"/>
        <v>551799.11966570828</v>
      </c>
      <c r="R26" s="113">
        <f t="shared" si="45"/>
        <v>614642.33920348482</v>
      </c>
      <c r="S26" s="140">
        <f t="shared" si="45"/>
        <v>592418.7393094193</v>
      </c>
      <c r="T26" s="113">
        <f t="shared" si="45"/>
        <v>521681.97841411683</v>
      </c>
      <c r="U26" s="113">
        <f t="shared" si="45"/>
        <v>431260.37044222635</v>
      </c>
      <c r="V26" s="113">
        <f t="shared" si="45"/>
        <v>324900.66139566124</v>
      </c>
      <c r="W26" s="113">
        <f t="shared" si="45"/>
        <v>207734.72150157145</v>
      </c>
      <c r="X26" s="10"/>
      <c r="Y26" s="10"/>
      <c r="Z26" s="10"/>
      <c r="AA26" s="10"/>
      <c r="AB26" s="10"/>
      <c r="AF26" s="10"/>
    </row>
    <row r="27" spans="1:36" x14ac:dyDescent="0.2">
      <c r="A27" s="110" t="s">
        <v>174</v>
      </c>
      <c r="B27" s="115"/>
      <c r="C27" s="130">
        <f>C26/C22</f>
        <v>2.5329332419663144</v>
      </c>
      <c r="D27" s="130">
        <f t="shared" ref="D27" si="46">D26/D22</f>
        <v>-0.20603527842854572</v>
      </c>
      <c r="E27" s="130">
        <f t="shared" ref="E27" si="47">E26/E22</f>
        <v>0.34242951300603747</v>
      </c>
      <c r="F27" s="130">
        <f t="shared" ref="F27" si="48">F26/F22</f>
        <v>0.15583557448459154</v>
      </c>
      <c r="G27" s="130">
        <f t="shared" ref="G27" si="49">G26/G22</f>
        <v>0.56328367173609917</v>
      </c>
      <c r="H27" s="130">
        <f t="shared" ref="H27" si="50">H26/H22</f>
        <v>0.22493811728761795</v>
      </c>
      <c r="I27" s="130">
        <f t="shared" ref="I27" si="51">I26/I22</f>
        <v>0.21662256948569503</v>
      </c>
      <c r="J27" s="130">
        <f t="shared" ref="J27" si="52">J26/J22</f>
        <v>0.29613703223500776</v>
      </c>
      <c r="K27" s="130">
        <f t="shared" ref="K27" si="53">K26/K22</f>
        <v>0.37503715101665336</v>
      </c>
      <c r="L27" s="130">
        <f t="shared" ref="L27" si="54">L26/L22</f>
        <v>0.15163463999617088</v>
      </c>
      <c r="M27" s="10"/>
      <c r="N27" s="139">
        <f>N5/N25</f>
        <v>0.29929742051318159</v>
      </c>
      <c r="O27" s="139">
        <f t="shared" ref="O27:W27" si="55">O5/O25</f>
        <v>0.31562148921580652</v>
      </c>
      <c r="P27" s="139">
        <f t="shared" si="55"/>
        <v>0.27003846529833597</v>
      </c>
      <c r="Q27" s="139">
        <f t="shared" si="55"/>
        <v>0.27012871014509765</v>
      </c>
      <c r="R27" s="139">
        <f t="shared" si="55"/>
        <v>0.27021995649139607</v>
      </c>
      <c r="S27" s="141">
        <f t="shared" si="55"/>
        <v>0.23008351834984989</v>
      </c>
      <c r="T27" s="139">
        <f t="shared" si="55"/>
        <v>0.17966420408843328</v>
      </c>
      <c r="U27" s="139">
        <f t="shared" si="55"/>
        <v>0.1367105372175548</v>
      </c>
      <c r="V27" s="139">
        <f t="shared" si="55"/>
        <v>9.6427424309031451E-2</v>
      </c>
      <c r="W27" s="139">
        <f t="shared" si="55"/>
        <v>5.9857949888893411E-2</v>
      </c>
      <c r="X27" s="10"/>
      <c r="Y27" s="10"/>
      <c r="Z27" s="10"/>
      <c r="AA27" s="10"/>
      <c r="AB27" s="10"/>
      <c r="AF27" s="10"/>
    </row>
    <row r="28" spans="1:36" x14ac:dyDescent="0.2">
      <c r="A28" s="10" t="s">
        <v>109</v>
      </c>
      <c r="B28" s="37">
        <v>275000</v>
      </c>
      <c r="C28" s="37">
        <v>248000</v>
      </c>
      <c r="D28" s="37">
        <v>261000</v>
      </c>
      <c r="E28" s="37">
        <v>802944</v>
      </c>
      <c r="F28" s="37">
        <v>875364</v>
      </c>
      <c r="G28" s="37">
        <v>426637</v>
      </c>
      <c r="H28" s="37">
        <v>455989</v>
      </c>
      <c r="I28" s="37">
        <v>546225</v>
      </c>
      <c r="J28" s="37">
        <f>'Cash Flow Statement'!D5</f>
        <v>662305</v>
      </c>
      <c r="K28" s="37">
        <f>'Cash Flow Statement'!C5</f>
        <v>666777</v>
      </c>
      <c r="L28" s="37">
        <f>'Cash Flow Statement'!B5</f>
        <v>661937</v>
      </c>
      <c r="M28" s="10"/>
      <c r="N28" s="37">
        <f>N4*N29</f>
        <v>1001961.6546446192</v>
      </c>
      <c r="O28" s="37">
        <f t="shared" ref="O28:W28" si="56">O4*O29</f>
        <v>1135934.7428914672</v>
      </c>
      <c r="P28" s="37">
        <f t="shared" si="56"/>
        <v>1264785.6677000609</v>
      </c>
      <c r="Q28" s="37">
        <f t="shared" si="56"/>
        <v>1408302.7369266767</v>
      </c>
      <c r="R28" s="37">
        <f t="shared" si="56"/>
        <v>1568161.6116093351</v>
      </c>
      <c r="S28" s="112">
        <f t="shared" si="56"/>
        <v>1725054.5333522519</v>
      </c>
      <c r="T28" s="37">
        <f t="shared" si="56"/>
        <v>1867562.1368315036</v>
      </c>
      <c r="U28" s="37">
        <f t="shared" si="56"/>
        <v>1989152.930646573</v>
      </c>
      <c r="V28" s="37">
        <f t="shared" si="56"/>
        <v>2083758.9287777909</v>
      </c>
      <c r="W28" s="37">
        <f t="shared" si="56"/>
        <v>2146271.6966411248</v>
      </c>
      <c r="X28" s="10"/>
      <c r="Y28" s="10"/>
      <c r="Z28" s="10"/>
      <c r="AA28" s="10"/>
      <c r="AB28" s="10"/>
      <c r="AF28" s="10"/>
    </row>
    <row r="29" spans="1:36" x14ac:dyDescent="0.2">
      <c r="A29" s="64" t="s">
        <v>138</v>
      </c>
      <c r="B29" s="12">
        <f t="shared" ref="B29:I29" si="57">B28/B4</f>
        <v>9.6355991590749826E-2</v>
      </c>
      <c r="C29" s="12">
        <f t="shared" si="57"/>
        <v>7.9871175523349436E-2</v>
      </c>
      <c r="D29" s="12">
        <f t="shared" si="57"/>
        <v>7.6382791922739252E-2</v>
      </c>
      <c r="E29" s="12">
        <f t="shared" si="57"/>
        <v>0.23475691316692204</v>
      </c>
      <c r="F29" s="12">
        <f t="shared" si="57"/>
        <v>0.23240070992124229</v>
      </c>
      <c r="G29" s="12">
        <f t="shared" si="57"/>
        <v>0.12331297564303036</v>
      </c>
      <c r="H29" s="12">
        <f t="shared" si="57"/>
        <v>0.10676663949046733</v>
      </c>
      <c r="I29" s="12">
        <f t="shared" si="57"/>
        <v>0.10720270275044189</v>
      </c>
      <c r="J29" s="12">
        <f>J28/J4</f>
        <v>0.11093614796020064</v>
      </c>
      <c r="K29" s="12">
        <f>K28/K4</f>
        <v>9.9866729931756382E-2</v>
      </c>
      <c r="L29" s="12">
        <f>L28/L4</f>
        <v>9.2633430024596383E-2</v>
      </c>
      <c r="M29" s="11"/>
      <c r="N29" s="12">
        <f>AVERAGE($B$29:$L$29)</f>
        <v>0.12368056435686325</v>
      </c>
      <c r="O29" s="12">
        <f t="shared" ref="O29:W29" si="58">AVERAGE($B$29:$L$29)</f>
        <v>0.12368056435686325</v>
      </c>
      <c r="P29" s="12">
        <f t="shared" si="58"/>
        <v>0.12368056435686325</v>
      </c>
      <c r="Q29" s="12">
        <f t="shared" si="58"/>
        <v>0.12368056435686325</v>
      </c>
      <c r="R29" s="12">
        <f t="shared" si="58"/>
        <v>0.12368056435686325</v>
      </c>
      <c r="S29" s="99">
        <f t="shared" si="58"/>
        <v>0.12368056435686325</v>
      </c>
      <c r="T29" s="12">
        <f t="shared" si="58"/>
        <v>0.12368056435686325</v>
      </c>
      <c r="U29" s="12">
        <f t="shared" si="58"/>
        <v>0.12368056435686325</v>
      </c>
      <c r="V29" s="12">
        <f t="shared" si="58"/>
        <v>0.12368056435686325</v>
      </c>
      <c r="W29" s="12">
        <f t="shared" si="58"/>
        <v>0.12368056435686325</v>
      </c>
      <c r="X29" s="10"/>
      <c r="Y29" s="10"/>
      <c r="Z29" s="10"/>
      <c r="AA29" s="10"/>
      <c r="AB29" s="10"/>
      <c r="AF29" s="10"/>
    </row>
    <row r="30" spans="1:36" x14ac:dyDescent="0.2">
      <c r="A30" s="111" t="s">
        <v>110</v>
      </c>
      <c r="B30" s="114">
        <v>356000</v>
      </c>
      <c r="C30" s="114">
        <v>342000</v>
      </c>
      <c r="D30" s="114">
        <v>392000</v>
      </c>
      <c r="E30" s="114">
        <v>639000</v>
      </c>
      <c r="F30" s="114">
        <v>706000</v>
      </c>
      <c r="G30" s="114">
        <v>734000</v>
      </c>
      <c r="H30" s="114">
        <v>750000</v>
      </c>
      <c r="I30" s="114">
        <v>824000</v>
      </c>
      <c r="J30" s="114">
        <v>911000</v>
      </c>
      <c r="K30" s="114">
        <f>-SUM('Cash Flow Statement'!C20:C21)</f>
        <v>989151</v>
      </c>
      <c r="L30" s="114">
        <f>-SUM('Cash Flow Statement'!B20:B21)</f>
        <v>943186</v>
      </c>
      <c r="M30" s="10"/>
      <c r="N30" s="82"/>
      <c r="O30" s="82"/>
      <c r="P30" s="82"/>
      <c r="Q30" s="82"/>
      <c r="R30" s="82"/>
      <c r="S30" s="106"/>
      <c r="T30" s="82"/>
      <c r="U30" s="82"/>
      <c r="V30" s="82"/>
      <c r="W30" s="82"/>
      <c r="X30" s="37"/>
      <c r="Y30" s="10"/>
      <c r="Z30" s="10"/>
      <c r="AA30" s="10"/>
      <c r="AB30" s="10"/>
      <c r="AF30" s="10"/>
    </row>
    <row r="31" spans="1:36" x14ac:dyDescent="0.2">
      <c r="A31" s="90" t="s">
        <v>140</v>
      </c>
      <c r="B31" s="63">
        <f t="shared" ref="B31:I31" si="59">B30/B4</f>
        <v>0.12473721093202522</v>
      </c>
      <c r="C31" s="63">
        <f t="shared" si="59"/>
        <v>0.11014492753623188</v>
      </c>
      <c r="D31" s="63">
        <f t="shared" si="59"/>
        <v>0.11472051507170032</v>
      </c>
      <c r="E31" s="63">
        <f t="shared" si="59"/>
        <v>0.18682456997457256</v>
      </c>
      <c r="F31" s="63">
        <f t="shared" si="59"/>
        <v>0.18743619934609723</v>
      </c>
      <c r="G31" s="63">
        <f t="shared" si="59"/>
        <v>0.21215160457715643</v>
      </c>
      <c r="H31" s="63">
        <f t="shared" si="59"/>
        <v>0.17560726161782522</v>
      </c>
      <c r="I31" s="63">
        <f t="shared" si="59"/>
        <v>0.16171912136274266</v>
      </c>
      <c r="J31" s="63">
        <f>J30/J4</f>
        <v>0.15259258316295782</v>
      </c>
      <c r="K31" s="63">
        <f>K30/K4</f>
        <v>0.14815039477775441</v>
      </c>
      <c r="L31" s="63">
        <f>L30/L4</f>
        <v>0.13199225051806887</v>
      </c>
      <c r="M31" s="10"/>
      <c r="N31" s="63"/>
      <c r="O31" s="63"/>
      <c r="P31" s="63"/>
      <c r="Q31" s="63"/>
      <c r="R31" s="63"/>
      <c r="S31" s="136"/>
      <c r="T31" s="63"/>
      <c r="U31" s="63"/>
      <c r="V31" s="63"/>
      <c r="W31" s="63"/>
      <c r="X31" s="10"/>
      <c r="Y31" s="10"/>
      <c r="Z31" s="10"/>
      <c r="AA31" s="10"/>
      <c r="AB31" s="10"/>
      <c r="AF31" s="10"/>
    </row>
    <row r="32" spans="1:36" x14ac:dyDescent="0.2">
      <c r="A32" s="109" t="s">
        <v>172</v>
      </c>
      <c r="B32" s="63"/>
      <c r="C32" s="42">
        <f>'Balance Sheet'!K17-'Balance Sheet'!K30</f>
        <v>-145794</v>
      </c>
      <c r="D32" s="42">
        <f>'Balance Sheet'!J17-'Balance Sheet'!J30</f>
        <v>-387775</v>
      </c>
      <c r="E32" s="42">
        <f>'Balance Sheet'!I17-'Balance Sheet'!I30</f>
        <v>-456137</v>
      </c>
      <c r="F32" s="42">
        <f>'Balance Sheet'!H17-'Balance Sheet'!H30</f>
        <v>-753262</v>
      </c>
      <c r="G32" s="42">
        <f>'Balance Sheet'!G17-'Balance Sheet'!G30</f>
        <v>-683378</v>
      </c>
      <c r="H32" s="42">
        <f>'Balance Sheet'!F17-'Balance Sheet'!F30</f>
        <v>-775412</v>
      </c>
      <c r="I32" s="42">
        <f>'Balance Sheet'!E17-'Balance Sheet'!E30</f>
        <v>-837243</v>
      </c>
      <c r="J32" s="42">
        <f>'Balance Sheet'!D17-'Balance Sheet'!D30</f>
        <v>-691060</v>
      </c>
      <c r="K32" s="42">
        <f>'Balance Sheet'!C17-'Balance Sheet'!C30</f>
        <v>-498700</v>
      </c>
      <c r="L32" s="42">
        <f>'Balance Sheet'!B17-'Balance Sheet'!B30</f>
        <v>-572642</v>
      </c>
      <c r="M32" s="10"/>
      <c r="N32" s="42">
        <f>N33*N4</f>
        <v>-1246581.4147341198</v>
      </c>
      <c r="O32" s="42">
        <f t="shared" ref="O32:W32" si="60">O33*O4</f>
        <v>-1413262.8052932126</v>
      </c>
      <c r="P32" s="42">
        <f t="shared" si="60"/>
        <v>-1573571.5031292262</v>
      </c>
      <c r="Q32" s="42">
        <f t="shared" si="60"/>
        <v>-1752126.9502021628</v>
      </c>
      <c r="R32" s="42">
        <f t="shared" si="60"/>
        <v>-1951013.904843549</v>
      </c>
      <c r="S32" s="107">
        <f t="shared" si="60"/>
        <v>-1932920.5004635802</v>
      </c>
      <c r="T32" s="42">
        <f t="shared" si="60"/>
        <v>-1861689.7016393486</v>
      </c>
      <c r="U32" s="42">
        <f t="shared" si="60"/>
        <v>-1736954.0418452274</v>
      </c>
      <c r="V32" s="42">
        <f t="shared" si="60"/>
        <v>-1561923.7677619439</v>
      </c>
      <c r="W32" s="42">
        <f t="shared" si="60"/>
        <v>-1343410.7830705608</v>
      </c>
      <c r="X32" s="10"/>
      <c r="Y32" s="10"/>
      <c r="Z32" s="10"/>
      <c r="AA32" s="10"/>
      <c r="AB32" s="10"/>
      <c r="AF32" s="10"/>
    </row>
    <row r="33" spans="1:32" x14ac:dyDescent="0.2">
      <c r="A33" s="110" t="s">
        <v>173</v>
      </c>
      <c r="B33" s="63"/>
      <c r="C33" s="117">
        <f>C32/C4</f>
        <v>-4.6954589371980673E-2</v>
      </c>
      <c r="D33" s="117">
        <f t="shared" ref="D33:L33" si="61">D32/D4</f>
        <v>-0.11348405033655252</v>
      </c>
      <c r="E33" s="117">
        <f t="shared" si="61"/>
        <v>-0.13336087460796808</v>
      </c>
      <c r="F33" s="117">
        <f t="shared" si="61"/>
        <v>-0.19998380508759192</v>
      </c>
      <c r="G33" s="117">
        <f t="shared" si="61"/>
        <v>-0.19752008069853952</v>
      </c>
      <c r="H33" s="117">
        <f t="shared" si="61"/>
        <v>-0.18155730392746811</v>
      </c>
      <c r="I33" s="117">
        <f t="shared" si="61"/>
        <v>-0.16431820670765382</v>
      </c>
      <c r="J33" s="117">
        <f t="shared" si="61"/>
        <v>-0.11575261308517414</v>
      </c>
      <c r="K33" s="117">
        <f t="shared" si="61"/>
        <v>-7.4692945642946457E-2</v>
      </c>
      <c r="L33" s="117">
        <f t="shared" si="61"/>
        <v>-8.0137222479095313E-2</v>
      </c>
      <c r="M33" s="10"/>
      <c r="N33" s="117">
        <f>AVERAGE($H$33:$J$33)</f>
        <v>-0.15387604124009868</v>
      </c>
      <c r="O33" s="117">
        <f t="shared" ref="O33:R33" si="62">AVERAGE($H$33:$J$33)</f>
        <v>-0.15387604124009868</v>
      </c>
      <c r="P33" s="117">
        <f t="shared" si="62"/>
        <v>-0.15387604124009868</v>
      </c>
      <c r="Q33" s="117">
        <f t="shared" si="62"/>
        <v>-0.15387604124009868</v>
      </c>
      <c r="R33" s="117">
        <f t="shared" si="62"/>
        <v>-0.15387604124009868</v>
      </c>
      <c r="S33" s="143">
        <f>R33-(($R$33-$W$33)/5)</f>
        <v>-0.13858384980428312</v>
      </c>
      <c r="T33" s="117">
        <f t="shared" ref="T33:V33" si="63">S33-(($R$33-$W$33)/5)</f>
        <v>-0.12329165836846756</v>
      </c>
      <c r="U33" s="117">
        <f t="shared" si="63"/>
        <v>-0.107999466932652</v>
      </c>
      <c r="V33" s="117">
        <f t="shared" si="63"/>
        <v>-9.2707275496836439E-2</v>
      </c>
      <c r="W33" s="117">
        <f>AVERAGE(K33:L33)</f>
        <v>-7.7415084061020878E-2</v>
      </c>
      <c r="X33" s="10"/>
      <c r="Y33" s="10"/>
      <c r="Z33" s="10"/>
      <c r="AA33" s="10"/>
      <c r="AB33" s="10"/>
      <c r="AF33" s="10"/>
    </row>
    <row r="34" spans="1:32" x14ac:dyDescent="0.2">
      <c r="A34" s="10" t="s">
        <v>142</v>
      </c>
      <c r="B34" s="82"/>
      <c r="C34" s="82"/>
      <c r="D34" s="42">
        <f>D32-C32</f>
        <v>-241981</v>
      </c>
      <c r="E34" s="42">
        <f t="shared" ref="E34:W34" si="64">E32-D32</f>
        <v>-68362</v>
      </c>
      <c r="F34" s="42">
        <f t="shared" si="64"/>
        <v>-297125</v>
      </c>
      <c r="G34" s="113">
        <f t="shared" si="64"/>
        <v>69884</v>
      </c>
      <c r="H34" s="42">
        <f t="shared" si="64"/>
        <v>-92034</v>
      </c>
      <c r="I34" s="42">
        <f t="shared" si="64"/>
        <v>-61831</v>
      </c>
      <c r="J34" s="113">
        <f t="shared" si="64"/>
        <v>146183</v>
      </c>
      <c r="K34" s="113">
        <f t="shared" si="64"/>
        <v>192360</v>
      </c>
      <c r="L34" s="42">
        <f t="shared" si="64"/>
        <v>-73942</v>
      </c>
      <c r="M34" s="42"/>
      <c r="N34" s="42">
        <f>N32-L32</f>
        <v>-673939.41473411978</v>
      </c>
      <c r="O34" s="42">
        <f>O32-N32</f>
        <v>-166681.39055909286</v>
      </c>
      <c r="P34" s="42">
        <f>P32-O32</f>
        <v>-160308.69783601351</v>
      </c>
      <c r="Q34" s="42">
        <f t="shared" si="64"/>
        <v>-178555.44707293669</v>
      </c>
      <c r="R34" s="42">
        <f t="shared" si="64"/>
        <v>-198886.95464138617</v>
      </c>
      <c r="S34" s="107">
        <f t="shared" si="64"/>
        <v>18093.404379968764</v>
      </c>
      <c r="T34" s="42">
        <f t="shared" si="64"/>
        <v>71230.798824231606</v>
      </c>
      <c r="U34" s="42">
        <f t="shared" si="64"/>
        <v>124735.65979412128</v>
      </c>
      <c r="V34" s="42">
        <f t="shared" si="64"/>
        <v>175030.2740832835</v>
      </c>
      <c r="W34" s="42">
        <f t="shared" si="64"/>
        <v>218512.98469138308</v>
      </c>
      <c r="X34" s="10"/>
      <c r="Y34" s="10"/>
      <c r="Z34" s="10"/>
      <c r="AA34" s="10"/>
      <c r="AB34" s="10"/>
      <c r="AF34" s="10"/>
    </row>
    <row r="35" spans="1:32" x14ac:dyDescent="0.2">
      <c r="A35" s="64" t="s">
        <v>143</v>
      </c>
      <c r="B35" s="63"/>
      <c r="C35" s="63"/>
      <c r="D35" s="117">
        <f t="shared" ref="D35:I35" si="65">D34/D4</f>
        <v>-7.0816798361135497E-2</v>
      </c>
      <c r="E35" s="117">
        <f t="shared" si="65"/>
        <v>-1.9987012914869685E-2</v>
      </c>
      <c r="F35" s="117">
        <f t="shared" si="65"/>
        <v>-7.8883825397605009E-2</v>
      </c>
      <c r="G35" s="12">
        <f t="shared" si="65"/>
        <v>2.0198913806907356E-2</v>
      </c>
      <c r="H35" s="117">
        <f t="shared" si="65"/>
        <v>-2.1549118287646569E-2</v>
      </c>
      <c r="I35" s="117">
        <f t="shared" si="65"/>
        <v>-1.2135018195363764E-2</v>
      </c>
      <c r="J35" s="12">
        <f>J34/J4</f>
        <v>2.4485665844687886E-2</v>
      </c>
      <c r="K35" s="12">
        <f>K34/K4</f>
        <v>2.8810778070738279E-2</v>
      </c>
      <c r="L35" s="117">
        <f>L34/L4</f>
        <v>-1.0347663120325205E-2</v>
      </c>
      <c r="M35" s="10"/>
      <c r="N35" s="12">
        <f>N34/N4</f>
        <v>-8.3190017073272324E-2</v>
      </c>
      <c r="O35" s="12">
        <f t="shared" ref="O35:W35" si="66">O34/O4</f>
        <v>-1.8148268270816528E-2</v>
      </c>
      <c r="P35" s="12">
        <f t="shared" si="66"/>
        <v>-1.5676229361237456E-2</v>
      </c>
      <c r="Q35" s="12">
        <f t="shared" si="66"/>
        <v>-1.5681172722255835E-2</v>
      </c>
      <c r="R35" s="12">
        <f t="shared" si="66"/>
        <v>-1.5686170743600975E-2</v>
      </c>
      <c r="S35" s="103">
        <f t="shared" si="66"/>
        <v>1.2972357810061908E-3</v>
      </c>
      <c r="T35" s="12">
        <f t="shared" si="66"/>
        <v>4.7173077802476386E-3</v>
      </c>
      <c r="U35" s="12">
        <f t="shared" si="66"/>
        <v>7.7557519892389355E-3</v>
      </c>
      <c r="V35" s="12">
        <f t="shared" si="66"/>
        <v>1.0388842384399187E-2</v>
      </c>
      <c r="W35" s="12">
        <f t="shared" si="66"/>
        <v>1.2591979528140715E-2</v>
      </c>
      <c r="X35" s="11"/>
      <c r="Y35" s="10"/>
      <c r="Z35" s="10"/>
      <c r="AA35" s="10"/>
      <c r="AB35" s="10"/>
      <c r="AF35" s="10"/>
    </row>
    <row r="36" spans="1:32" ht="16" thickBot="1" x14ac:dyDescent="0.25">
      <c r="A36" s="27" t="s">
        <v>145</v>
      </c>
      <c r="B36" s="44">
        <f>B22+B28-B30-B34</f>
        <v>142531.03448275861</v>
      </c>
      <c r="C36" s="44">
        <f t="shared" ref="C36:I36" si="67">C22+C28-C30-C34</f>
        <v>252587.5</v>
      </c>
      <c r="D36" s="44">
        <f t="shared" si="67"/>
        <v>668856.33512064337</v>
      </c>
      <c r="E36" s="44">
        <f t="shared" si="67"/>
        <v>1042017.1652730452</v>
      </c>
      <c r="F36" s="44">
        <f t="shared" si="67"/>
        <v>1198786.4896934305</v>
      </c>
      <c r="G36" s="44">
        <f t="shared" si="67"/>
        <v>276444.94683937123</v>
      </c>
      <c r="H36" s="44">
        <f t="shared" si="67"/>
        <v>657743.89716003463</v>
      </c>
      <c r="I36" s="44">
        <f t="shared" si="67"/>
        <v>762919.83908857964</v>
      </c>
      <c r="J36" s="44">
        <f>J22+J28-J30-J34</f>
        <v>874362.11213065288</v>
      </c>
      <c r="K36" s="44">
        <f>K22+K28-K30-K34</f>
        <v>1010205.5918502072</v>
      </c>
      <c r="L36" s="44">
        <f>L22+L28-L30-L34</f>
        <v>1427926.2158816843</v>
      </c>
      <c r="M36" s="44"/>
      <c r="N36" s="55">
        <f>N22-N26</f>
        <v>1059484.287650106</v>
      </c>
      <c r="O36" s="55">
        <f t="shared" ref="O36:R36" si="68">O22-O26</f>
        <v>1127623.1473547413</v>
      </c>
      <c r="P36" s="55">
        <f t="shared" si="68"/>
        <v>1339155.9224342846</v>
      </c>
      <c r="Q36" s="55">
        <f t="shared" si="68"/>
        <v>1490927.5470751701</v>
      </c>
      <c r="R36" s="55">
        <f t="shared" si="68"/>
        <v>1659957.7576367175</v>
      </c>
      <c r="S36" s="137">
        <f>S22-S26</f>
        <v>1982379.9405709286</v>
      </c>
      <c r="T36" s="55">
        <f>T22-T26</f>
        <v>2381968.0895612352</v>
      </c>
      <c r="U36" s="55">
        <f t="shared" ref="U36:W36" si="69">U22-U26</f>
        <v>2723290.6921136803</v>
      </c>
      <c r="V36" s="55">
        <f t="shared" si="69"/>
        <v>3044479.6131869801</v>
      </c>
      <c r="W36" s="55">
        <f t="shared" si="69"/>
        <v>3262726.9613185483</v>
      </c>
      <c r="X36" s="11"/>
      <c r="Y36" s="10"/>
      <c r="Z36" s="10"/>
      <c r="AA36" s="10"/>
      <c r="AB36" s="10"/>
      <c r="AF36" s="10"/>
    </row>
    <row r="37" spans="1:32" ht="16" thickTop="1" x14ac:dyDescent="0.2">
      <c r="A37" s="7" t="s">
        <v>146</v>
      </c>
      <c r="B37" s="7"/>
      <c r="C37" s="7"/>
      <c r="D37" s="7"/>
      <c r="E37" s="7"/>
      <c r="F37" s="7"/>
      <c r="G37" s="7"/>
      <c r="H37" s="7"/>
      <c r="I37" s="7"/>
      <c r="J37" s="10"/>
      <c r="K37" s="10"/>
      <c r="L37" s="10"/>
      <c r="M37" s="10"/>
      <c r="N37" s="50">
        <f>N36/(1+$Z$16)^1</f>
        <v>978403.21917122009</v>
      </c>
      <c r="O37" s="50">
        <f>O36/(1+$Z$16)^2</f>
        <v>961635.9425729831</v>
      </c>
      <c r="P37" s="50">
        <f>P36/(1+$Z$16)^3</f>
        <v>1054632.6294817871</v>
      </c>
      <c r="Q37" s="50">
        <f>Q36/(1+$Z$16)^4</f>
        <v>1084301.2268869085</v>
      </c>
      <c r="R37" s="50">
        <f>R36/(1+$Z$16)^5</f>
        <v>1114843.2250836291</v>
      </c>
      <c r="S37" s="138">
        <f>S36/(1+$Z$16)^6</f>
        <v>1229495.6872491674</v>
      </c>
      <c r="T37" s="51">
        <f>T36/(1+$Z$16)^7</f>
        <v>1364267.1024876558</v>
      </c>
      <c r="U37" s="51">
        <f t="shared" ref="U37:W37" si="70">U36/(1+$Z$16)^7</f>
        <v>1559758.8893165656</v>
      </c>
      <c r="V37" s="51">
        <f t="shared" si="70"/>
        <v>1743719.1533621356</v>
      </c>
      <c r="W37" s="51">
        <f t="shared" si="70"/>
        <v>1868719.8528114366</v>
      </c>
      <c r="X37" s="10"/>
      <c r="Y37" s="10"/>
      <c r="Z37" s="10"/>
      <c r="AA37" s="10"/>
      <c r="AB37" s="10"/>
      <c r="AF37" s="10"/>
    </row>
    <row r="38" spans="1:32" x14ac:dyDescent="0.2">
      <c r="A38" s="7" t="s">
        <v>147</v>
      </c>
      <c r="B38" s="7"/>
      <c r="C38" s="7"/>
      <c r="D38" s="7"/>
      <c r="E38" s="7"/>
      <c r="F38" s="7"/>
      <c r="G38" s="7"/>
      <c r="H38" s="7"/>
      <c r="I38" s="7"/>
      <c r="J38" s="10"/>
      <c r="K38" s="10"/>
      <c r="L38" s="10"/>
      <c r="M38" s="10"/>
      <c r="N38" s="10"/>
      <c r="O38" s="10"/>
      <c r="P38" s="10"/>
      <c r="Q38" s="10"/>
      <c r="R38" s="10"/>
      <c r="S38" s="120"/>
      <c r="T38" s="10"/>
      <c r="U38" s="10"/>
      <c r="V38" s="10"/>
      <c r="W38" s="37">
        <f>(W36*(1+Z15))/(Z16-Z15)</f>
        <v>63562648.127159104</v>
      </c>
      <c r="X38" s="10"/>
      <c r="Y38" s="10"/>
      <c r="Z38" s="10"/>
      <c r="AA38" s="10"/>
      <c r="AB38" s="10"/>
      <c r="AF38" s="10"/>
    </row>
    <row r="39" spans="1:32" ht="16" thickBot="1" x14ac:dyDescent="0.25">
      <c r="A39" s="28" t="s">
        <v>113</v>
      </c>
      <c r="B39" s="28"/>
      <c r="C39" s="28"/>
      <c r="D39" s="28"/>
      <c r="E39" s="28"/>
      <c r="F39" s="28"/>
      <c r="G39" s="28"/>
      <c r="H39" s="28"/>
      <c r="I39" s="28"/>
      <c r="J39" s="29"/>
      <c r="K39" s="29"/>
      <c r="L39" s="29"/>
      <c r="M39" s="29"/>
      <c r="N39" s="29"/>
      <c r="O39" s="29"/>
      <c r="P39" s="29"/>
      <c r="Q39" s="29"/>
      <c r="R39" s="29"/>
      <c r="S39" s="121"/>
      <c r="T39" s="29"/>
      <c r="U39" s="29"/>
      <c r="V39" s="29"/>
      <c r="W39" s="52">
        <f>W38/(1+Z16)^10</f>
        <v>28670515.895277198</v>
      </c>
      <c r="X39" s="10"/>
    </row>
    <row r="40" spans="1:32" ht="17" thickTop="1" thickBot="1" x14ac:dyDescent="0.25">
      <c r="A40" s="28" t="s">
        <v>148</v>
      </c>
      <c r="B40" s="28"/>
      <c r="C40" s="28"/>
      <c r="D40" s="28"/>
      <c r="E40" s="28"/>
      <c r="F40" s="28"/>
      <c r="G40" s="28"/>
      <c r="H40" s="28"/>
      <c r="I40" s="28"/>
      <c r="J40" s="29"/>
      <c r="K40" s="29"/>
      <c r="L40" s="29"/>
      <c r="M40" s="29"/>
      <c r="N40" s="29"/>
      <c r="O40" s="29"/>
      <c r="P40" s="29"/>
      <c r="Q40" s="29"/>
      <c r="R40" s="29"/>
      <c r="S40" s="121"/>
      <c r="T40" s="29"/>
      <c r="U40" s="29"/>
      <c r="V40" s="29"/>
      <c r="W40" s="53">
        <f>SUM(N37:W37,W39)</f>
        <v>41630292.823700689</v>
      </c>
      <c r="X40" s="10"/>
    </row>
    <row r="41" spans="1:32" ht="17" thickTop="1" thickBot="1" x14ac:dyDescent="0.25">
      <c r="A41" s="7" t="s">
        <v>149</v>
      </c>
      <c r="B41" s="7"/>
      <c r="C41" s="7"/>
      <c r="D41" s="7"/>
      <c r="E41" s="7"/>
      <c r="F41" s="7"/>
      <c r="G41" s="7"/>
      <c r="H41" s="7"/>
      <c r="I41" s="7"/>
      <c r="J41" s="10"/>
      <c r="K41" s="10"/>
      <c r="L41" s="7"/>
      <c r="M41" s="7"/>
      <c r="N41" s="10"/>
      <c r="O41" s="10"/>
      <c r="P41" s="10"/>
      <c r="Q41" s="10"/>
      <c r="R41" s="10"/>
      <c r="S41" s="120"/>
      <c r="T41" s="10"/>
      <c r="U41" s="10"/>
      <c r="V41" s="10"/>
      <c r="W41" s="37">
        <f>W40-Z4+'Cash Flow Statement'!B40</f>
        <v>40213783.823700689</v>
      </c>
      <c r="X41" s="10"/>
    </row>
    <row r="42" spans="1:32" ht="17" thickTop="1" thickBot="1" x14ac:dyDescent="0.25">
      <c r="A42" s="30" t="s">
        <v>171</v>
      </c>
      <c r="B42" s="30"/>
      <c r="C42" s="30"/>
      <c r="D42" s="30"/>
      <c r="E42" s="30"/>
      <c r="F42" s="30"/>
      <c r="G42" s="30"/>
      <c r="H42" s="30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122"/>
      <c r="T42" s="31"/>
      <c r="U42" s="31"/>
      <c r="V42" s="31"/>
      <c r="W42" s="54">
        <f>W41/'Balance Sheet'!B33</f>
        <v>226.83895906283703</v>
      </c>
      <c r="X42" s="10"/>
    </row>
    <row r="43" spans="1:32" ht="16" thickTop="1" x14ac:dyDescent="0.2">
      <c r="X43" s="10"/>
    </row>
    <row r="44" spans="1:32" x14ac:dyDescent="0.2">
      <c r="X44" s="10"/>
    </row>
    <row r="45" spans="1:32" x14ac:dyDescent="0.2">
      <c r="S45" s="142"/>
      <c r="T45" s="142"/>
      <c r="U45" s="142"/>
      <c r="V45" s="142"/>
      <c r="W45" s="142"/>
      <c r="X45" s="10"/>
    </row>
    <row r="46" spans="1:32" x14ac:dyDescent="0.2">
      <c r="X46" s="10"/>
    </row>
    <row r="47" spans="1:32" x14ac:dyDescent="0.2">
      <c r="X47" s="10"/>
    </row>
    <row r="48" spans="1:32" x14ac:dyDescent="0.2">
      <c r="X48" s="10"/>
    </row>
    <row r="49" spans="5:24" x14ac:dyDescent="0.2">
      <c r="X49" s="10"/>
    </row>
    <row r="50" spans="5:24" x14ac:dyDescent="0.2">
      <c r="E50" s="94"/>
    </row>
    <row r="52" spans="5:24" x14ac:dyDescent="0.2">
      <c r="N52" s="2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Comprehensive Income</vt:lpstr>
      <vt:lpstr>Balance Sheet</vt:lpstr>
      <vt:lpstr>Cash Flow Statement</vt:lpstr>
      <vt:lpstr>Changes in Equity</vt:lpstr>
      <vt:lpstr>DCF (Structural Stability)</vt:lpstr>
      <vt:lpstr>DCF (EV) 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Albina Ananyan</cp:lastModifiedBy>
  <cp:revision/>
  <dcterms:created xsi:type="dcterms:W3CDTF">2026-02-23T23:08:48Z</dcterms:created>
  <dcterms:modified xsi:type="dcterms:W3CDTF">2026-03-09T23:14:05Z</dcterms:modified>
  <cp:category/>
  <cp:contentStatus/>
</cp:coreProperties>
</file>